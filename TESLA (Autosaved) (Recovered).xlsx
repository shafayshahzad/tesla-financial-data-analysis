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 tabRatio="250" firstSheet="4" activeTab="5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7" l="1"/>
  <c r="A16" i="7"/>
  <c r="A12" i="7"/>
  <c r="A49" i="6"/>
  <c r="A47" i="6"/>
  <c r="A45" i="6"/>
  <c r="A43" i="6"/>
  <c r="A41" i="6" l="1"/>
  <c r="A39" i="6"/>
  <c r="H67" i="6"/>
  <c r="H64" i="6"/>
  <c r="H61" i="6"/>
  <c r="H58" i="6"/>
  <c r="A37" i="6"/>
  <c r="G15" i="5"/>
  <c r="G13" i="5"/>
  <c r="A21" i="5"/>
  <c r="A19" i="5"/>
  <c r="A17" i="5"/>
  <c r="A15" i="5"/>
  <c r="A13" i="5"/>
  <c r="I64" i="2"/>
  <c r="F20" i="4" l="1"/>
  <c r="I2" i="4"/>
  <c r="F16" i="4"/>
  <c r="F18" i="4" l="1"/>
  <c r="I4" i="4"/>
  <c r="I3" i="4"/>
  <c r="I8" i="4"/>
  <c r="I7" i="4"/>
  <c r="I9" i="4"/>
  <c r="I6" i="4"/>
  <c r="I5" i="4"/>
  <c r="H9" i="4"/>
  <c r="H3" i="4"/>
  <c r="H4" i="4"/>
  <c r="H5" i="4"/>
  <c r="H6" i="4"/>
  <c r="H7" i="4"/>
  <c r="H8" i="4"/>
  <c r="H2" i="4"/>
  <c r="I49" i="2"/>
  <c r="F32" i="2"/>
  <c r="E32" i="2"/>
  <c r="D32" i="2"/>
  <c r="C32" i="2"/>
  <c r="I61" i="2"/>
  <c r="I48" i="2"/>
  <c r="I57" i="2"/>
  <c r="I53" i="2"/>
  <c r="I47" i="2"/>
  <c r="I46" i="2"/>
  <c r="I45" i="2"/>
  <c r="I44" i="2"/>
  <c r="I43" i="2"/>
  <c r="I42" i="2"/>
  <c r="I41" i="2"/>
  <c r="I40" i="2"/>
  <c r="I39" i="2"/>
  <c r="I37" i="2"/>
  <c r="I36" i="2"/>
  <c r="I35" i="2"/>
  <c r="I34" i="2"/>
  <c r="C50" i="2"/>
  <c r="C49" i="2" l="1"/>
  <c r="C47" i="2"/>
  <c r="C45" i="2"/>
  <c r="C43" i="2"/>
  <c r="C41" i="2"/>
  <c r="C39" i="2"/>
  <c r="C37" i="2"/>
  <c r="C35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J109" i="1"/>
  <c r="I109" i="1"/>
  <c r="H109" i="1"/>
  <c r="G109" i="1"/>
  <c r="F109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F121" i="1"/>
</calcChain>
</file>

<file path=xl/sharedStrings.xml><?xml version="1.0" encoding="utf-8"?>
<sst xmlns="http://schemas.openxmlformats.org/spreadsheetml/2006/main" count="384" uniqueCount="164">
  <si>
    <t>TESLA SALES</t>
  </si>
  <si>
    <t>YEAR</t>
  </si>
  <si>
    <t>MONTHS</t>
  </si>
  <si>
    <t>(January 1 – March 31)</t>
  </si>
  <si>
    <t>(April 1 – June 30)</t>
  </si>
  <si>
    <t>(July 1 – September 30)</t>
  </si>
  <si>
    <t>(October 1 – December 31)</t>
  </si>
  <si>
    <t>Tesla Model S</t>
  </si>
  <si>
    <t>Tesla Model X</t>
  </si>
  <si>
    <t>Tesla Model 3</t>
  </si>
  <si>
    <t>Tesla Model Y</t>
  </si>
  <si>
    <t>TOTAL</t>
  </si>
  <si>
    <t>Year</t>
  </si>
  <si>
    <t>$100,000 - $120,000</t>
  </si>
  <si>
    <t>$80,000 - $110,000</t>
  </si>
  <si>
    <t>$85,000 - $125,000</t>
  </si>
  <si>
    <t>$40,000 - $55,000</t>
  </si>
  <si>
    <t>$50,000 - $60,000</t>
  </si>
  <si>
    <t>$200,000+</t>
  </si>
  <si>
    <t>$110,000 - $130,000</t>
  </si>
  <si>
    <t>$90,000 - $120,000</t>
  </si>
  <si>
    <t>$90,000 - $130,000</t>
  </si>
  <si>
    <t>$45,000 - $60,000</t>
  </si>
  <si>
    <t>$55,000 - $65,000</t>
  </si>
  <si>
    <t>$210,000+</t>
  </si>
  <si>
    <t>$115,000 - $145,000</t>
  </si>
  <si>
    <t>$95,000 - $125,000</t>
  </si>
  <si>
    <t>$95,000 - $130,000</t>
  </si>
  <si>
    <t>$50,000 - $65,000</t>
  </si>
  <si>
    <t>$60,000 - $70,000</t>
  </si>
  <si>
    <t>$220,000+</t>
  </si>
  <si>
    <t>$120,000 - $150,000</t>
  </si>
  <si>
    <t>$100,000 - $130,000</t>
  </si>
  <si>
    <t>$100,000 - $135,000</t>
  </si>
  <si>
    <t>$55,000 - $70,000</t>
  </si>
  <si>
    <t>$65,000 - $75,000</t>
  </si>
  <si>
    <t>$230,000+</t>
  </si>
  <si>
    <t>$130,000 - $160,000</t>
  </si>
  <si>
    <t>$105,000 - $135,000</t>
  </si>
  <si>
    <t>$110,000 - $140,000</t>
  </si>
  <si>
    <t>$55,000 - $75,000</t>
  </si>
  <si>
    <t>$70,000 - $80,000</t>
  </si>
  <si>
    <t>$250,000+</t>
  </si>
  <si>
    <t>$140,000 - $180,000</t>
  </si>
  <si>
    <t>$110,000 - $145,000</t>
  </si>
  <si>
    <t>$115,000 - $150,000</t>
  </si>
  <si>
    <t>$60,000 - $80,000</t>
  </si>
  <si>
    <t>$75,000 - $85,000</t>
  </si>
  <si>
    <t>$300,000+</t>
  </si>
  <si>
    <t>$150,000 - $190,000</t>
  </si>
  <si>
    <t>$120,000 - $160,000</t>
  </si>
  <si>
    <t>$65,000 - $85,000</t>
  </si>
  <si>
    <t>$80,000 - $90,000</t>
  </si>
  <si>
    <t>$350,000+</t>
  </si>
  <si>
    <t>$160,000 - $200,000</t>
  </si>
  <si>
    <t>$125,000 - $170,000</t>
  </si>
  <si>
    <t>$70,000 - $90,000</t>
  </si>
  <si>
    <t>$85,000 - $95,000</t>
  </si>
  <si>
    <t>$400,000+</t>
  </si>
  <si>
    <t>SOFTWARE ENGINEERS</t>
  </si>
  <si>
    <t>ELECTRICAL ENGINEERS</t>
  </si>
  <si>
    <t>MECHANICAL ENGINEERS</t>
  </si>
  <si>
    <t>PRODUCTION WORKERS</t>
  </si>
  <si>
    <t>SALES AND SERVICS TECHNICIANS</t>
  </si>
  <si>
    <t>EXECUTIVES/SENIORE LEADERSHIP</t>
  </si>
  <si>
    <t>MODEL S PRODUCTION COST (USD)</t>
  </si>
  <si>
    <t>MODEL X PRODUCTION COST (USD)</t>
  </si>
  <si>
    <t>MODEL 3 PRODUCTION COST (USD)</t>
  </si>
  <si>
    <t>MODEL Y PRODUCTION COST (USD)</t>
  </si>
  <si>
    <t xml:space="preserve"> YEAR</t>
  </si>
  <si>
    <t>Aftermarket Parts &amp; Repairs (USD)</t>
  </si>
  <si>
    <t xml:space="preserve"> Software &amp; Upgrades (USD)</t>
  </si>
  <si>
    <t>Insurance (USD)</t>
  </si>
  <si>
    <t>Mobile Service &amp; Roadside Assistance (USD)</t>
  </si>
  <si>
    <t>SERVICES</t>
  </si>
  <si>
    <t>SALARIES</t>
  </si>
  <si>
    <t>PROD.COST</t>
  </si>
  <si>
    <t>Software &amp; Upgrades (USD)</t>
  </si>
  <si>
    <t>Total Service Revenue (USD)</t>
  </si>
  <si>
    <t>Model S (USD)</t>
  </si>
  <si>
    <t>Model 3 (USD)</t>
  </si>
  <si>
    <t>Model X (USD)</t>
  </si>
  <si>
    <t>Model Y (USD)</t>
  </si>
  <si>
    <t>TOTAL SALES FROM 2016-2023</t>
  </si>
  <si>
    <t>TOTAL SALE IN 2016</t>
  </si>
  <si>
    <t>TOTAL SALE IN 2017</t>
  </si>
  <si>
    <t>TOTAL SALE IN 2018</t>
  </si>
  <si>
    <t>TOTAL SALE IN 2019</t>
  </si>
  <si>
    <t>TOTAL SALE IN 2020</t>
  </si>
  <si>
    <t>TOTAL SALE IN 2021</t>
  </si>
  <si>
    <t>TOTAL SALE IN 2022</t>
  </si>
  <si>
    <t>TOTAL SALE IN 2023</t>
  </si>
  <si>
    <t>Q1 What are the total sales in 2016?</t>
  </si>
  <si>
    <t>Q2 What are the total sales in 2017?</t>
  </si>
  <si>
    <t>Q3 What are the total sales in 2018?</t>
  </si>
  <si>
    <t>Q4 What are the total sales in 2019?</t>
  </si>
  <si>
    <t>Q5 What are the total sales in 2020?</t>
  </si>
  <si>
    <t>Q6 What are the total sales in 2021?</t>
  </si>
  <si>
    <t>Q7 What are the total sales in 2022?</t>
  </si>
  <si>
    <t>Q8 What are the total sales in 2023?</t>
  </si>
  <si>
    <t>Q9 What are the total sales of Model X?</t>
  </si>
  <si>
    <t>Q10 What are the total sales of Model S?</t>
  </si>
  <si>
    <t>Q11 What are the total sales of Model 3?</t>
  </si>
  <si>
    <t>Q12 What are the total sales of Model Y?</t>
  </si>
  <si>
    <t>Q13 What are the Avg. Sales in 2016?</t>
  </si>
  <si>
    <t>Q13 What are the Avg. Sales in 2017?</t>
  </si>
  <si>
    <t>Q13 What are the Avg. Sales in 2018?</t>
  </si>
  <si>
    <t>Q13 What are the Avg. Sales in 2019?</t>
  </si>
  <si>
    <t>Q13 What are the Avg. Sales in 2020?</t>
  </si>
  <si>
    <t>Q13 What are the Avg. Sales in 2021?</t>
  </si>
  <si>
    <t>Q13 What are the Avg. Sales in 2022?</t>
  </si>
  <si>
    <t>Q13 What are the Avg. Sales in 2023?</t>
  </si>
  <si>
    <t>Q14 How many sales are greater than 30000?</t>
  </si>
  <si>
    <t>MAX SALES IN 2016</t>
  </si>
  <si>
    <t>MIN SALES IN QUARTER 2</t>
  </si>
  <si>
    <t>Q15 MAX SALES OF MODEL S 2016-2023</t>
  </si>
  <si>
    <t>MAX SALES OF MODEL S IN WHICH YEAR</t>
  </si>
  <si>
    <t>TOTAL SALES</t>
  </si>
  <si>
    <t>Q16 PERCENTAGE INCREASE IN SALES FROM 2016-2023</t>
  </si>
  <si>
    <t>BONUS OF SE</t>
  </si>
  <si>
    <t>TAX</t>
  </si>
  <si>
    <t>AMOUNT</t>
  </si>
  <si>
    <t>Q1 COUNT THE TOTAL NUMBER OF POSITIONS WHO HAVE SALARY GREATER THAN 150,000?</t>
  </si>
  <si>
    <t>Q2 WHAT IS THE AVERAGE SALARY?</t>
  </si>
  <si>
    <t>Q3 AVERAGE SALARY GREATER THAN 190000?</t>
  </si>
  <si>
    <t>TAX TABLE</t>
  </si>
  <si>
    <t>&gt;5000</t>
  </si>
  <si>
    <t>Calculate total Tesla Model X sales in 2023 for values over 5000</t>
  </si>
  <si>
    <t>Q1 Whats the mean cost of vehicle?</t>
  </si>
  <si>
    <t>Q2 What is the total production cost of Model Y from 2020 to 2023?</t>
  </si>
  <si>
    <t>Q3 What is the difference in production cost for Model 3 between 2020 and 2023?</t>
  </si>
  <si>
    <t>Q4 What is the average production cost of Model X over the years?</t>
  </si>
  <si>
    <t>Q5 What was the minimum production cost of Model 3?</t>
  </si>
  <si>
    <t>HLOOKUP</t>
  </si>
  <si>
    <r>
      <t xml:space="preserve">Q1 What was the production cost of </t>
    </r>
    <r>
      <rPr>
        <b/>
        <sz val="11"/>
        <color theme="1"/>
        <rFont val="Calibri"/>
        <family val="2"/>
        <scheme val="minor"/>
      </rPr>
      <t>Model X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2023</t>
    </r>
    <r>
      <rPr>
        <sz val="11"/>
        <color theme="1"/>
        <rFont val="Calibri"/>
        <family val="2"/>
        <scheme val="minor"/>
      </rPr>
      <t>?</t>
    </r>
  </si>
  <si>
    <r>
      <t xml:space="preserve">Q2 What was the production cost of </t>
    </r>
    <r>
      <rPr>
        <b/>
        <sz val="11"/>
        <color theme="1"/>
        <rFont val="Calibri"/>
        <family val="2"/>
        <scheme val="minor"/>
      </rPr>
      <t>Model 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2019</t>
    </r>
    <r>
      <rPr>
        <sz val="11"/>
        <color theme="1"/>
        <rFont val="Calibri"/>
        <family val="2"/>
        <scheme val="minor"/>
      </rPr>
      <t>?</t>
    </r>
  </si>
  <si>
    <t>Employees</t>
  </si>
  <si>
    <t>Q1 How many times has the revenue for Tesla Model S exceeded $200,000,000?</t>
  </si>
  <si>
    <t>Insurance</t>
  </si>
  <si>
    <t xml:space="preserve"> Calculate the total revenue from Insurance for Tesla Model S (2016–2023).</t>
  </si>
  <si>
    <t>What is the average revenue generated from "Software &amp; Upgrades" for Tesla Model S (2016–2023)?</t>
  </si>
  <si>
    <t>&gt;100000000</t>
  </si>
  <si>
    <t>How many times "Mobile Service &amp; Roadside Assistance" revenue for Tesla Model X exceeded $100,000,000.</t>
  </si>
  <si>
    <t>Count all entries under "Insurance (USD)" for Tesla Model Y.</t>
  </si>
  <si>
    <t>Q2 Find the median revenue from "Insurance (USD)" for Tesla Model S.</t>
  </si>
  <si>
    <t>Q3 What is the most frequently occurring revenue value for "Software &amp; Upgrades" across all models?</t>
  </si>
  <si>
    <t>DATE</t>
  </si>
  <si>
    <t>SUPERCHARGERS</t>
  </si>
  <si>
    <t>CHARGERS</t>
  </si>
  <si>
    <t>TOTAL EMPLOYESS</t>
  </si>
  <si>
    <t>Q4 Calculate the standard deviation of revenue from "Aftermarket Parts &amp; Repairs" for Tesla Model X.</t>
  </si>
  <si>
    <t>Q5 Calculate the skewness of revenue distribution for "Mobile Service &amp; Roadside Assistance" in Tesla Model Y</t>
  </si>
  <si>
    <t>Q6 Evaluate the kurtosis of "Insurance (USD)" revenue for Tesla Model 3.</t>
  </si>
  <si>
    <t>Q7  Determine the variance in revenue from "Software &amp; Upgrades" for Tesla Model Y.</t>
  </si>
  <si>
    <t>Q1 Calculate the total revenue from "Aftermarket Parts &amp; Repairs" for years where the revenue exceeds $1 billion</t>
  </si>
  <si>
    <t>Q3 Find the average "Total Service Revenue" for years where "Software &amp; Upgrades" revenue is less than $1.5 billion,"Insurance" revenue exceeds $200 million.</t>
  </si>
  <si>
    <t>Calculate the total "Total Service Revenue" for years where Aftermarket Parts &amp; Repairs" revenue is greater than $1.5 billion,Insurance" revenue exceeds $300 million.</t>
  </si>
  <si>
    <t>MODEL</t>
  </si>
  <si>
    <t>COUNTRY</t>
  </si>
  <si>
    <t>SALES</t>
  </si>
  <si>
    <t>MODEL Y</t>
  </si>
  <si>
    <t>MODEL 3</t>
  </si>
  <si>
    <t>CYBERTRUCK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</si>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</sst>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22"/>
      <color theme="1"/>
      <name val="Arial Black"/>
      <family val="2"/>
    </font>
    <font>
      <sz val="11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sz val="11"/>
      <color theme="2"/>
      <name val="Arial Black"/>
      <family val="2"/>
    </font>
    <font>
      <sz val="11"/>
      <color theme="2"/>
      <name val="Arial Black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 Black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284E3F"/>
      </bottom>
      <diagonal/>
    </border>
    <border>
      <left style="thick">
        <color theme="1"/>
      </left>
      <right style="medium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/>
    <xf numFmtId="0" fontId="0" fillId="0" borderId="0" xfId="0" applyBorder="1"/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8" borderId="1" xfId="0" applyFill="1" applyBorder="1"/>
    <xf numFmtId="0" fontId="0" fillId="6" borderId="1" xfId="0" applyFill="1" applyBorder="1"/>
    <xf numFmtId="0" fontId="1" fillId="9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/>
    <xf numFmtId="6" fontId="0" fillId="8" borderId="1" xfId="0" applyNumberFormat="1" applyFill="1" applyBorder="1"/>
    <xf numFmtId="0" fontId="6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3" fontId="0" fillId="6" borderId="1" xfId="0" applyNumberFormat="1" applyFill="1" applyBorder="1"/>
    <xf numFmtId="3" fontId="0" fillId="6" borderId="1" xfId="0" applyNumberFormat="1" applyFont="1" applyFill="1" applyBorder="1" applyAlignment="1">
      <alignment horizontal="right" vertical="center" wrapText="1"/>
    </xf>
    <xf numFmtId="3" fontId="0" fillId="6" borderId="7" xfId="0" applyNumberFormat="1" applyFont="1" applyFill="1" applyBorder="1" applyAlignment="1">
      <alignment horizontal="right" vertical="center" wrapText="1"/>
    </xf>
    <xf numFmtId="0" fontId="9" fillId="0" borderId="0" xfId="0" applyFont="1"/>
    <xf numFmtId="0" fontId="5" fillId="11" borderId="8" xfId="0" applyFont="1" applyFill="1" applyBorder="1" applyAlignment="1">
      <alignment wrapText="1"/>
    </xf>
    <xf numFmtId="0" fontId="5" fillId="11" borderId="9" xfId="0" applyFont="1" applyFill="1" applyBorder="1" applyAlignment="1">
      <alignment wrapText="1"/>
    </xf>
    <xf numFmtId="0" fontId="5" fillId="11" borderId="10" xfId="0" applyFont="1" applyFill="1" applyBorder="1" applyAlignment="1">
      <alignment wrapText="1"/>
    </xf>
    <xf numFmtId="0" fontId="10" fillId="12" borderId="8" xfId="0" applyFont="1" applyFill="1" applyBorder="1" applyAlignment="1">
      <alignment horizontal="right" wrapText="1"/>
    </xf>
    <xf numFmtId="3" fontId="0" fillId="12" borderId="9" xfId="0" applyNumberFormat="1" applyFont="1" applyFill="1" applyBorder="1" applyAlignment="1">
      <alignment horizontal="right" wrapText="1"/>
    </xf>
    <xf numFmtId="3" fontId="0" fillId="12" borderId="10" xfId="0" applyNumberFormat="1" applyFont="1" applyFill="1" applyBorder="1" applyAlignment="1">
      <alignment horizontal="right" wrapText="1"/>
    </xf>
    <xf numFmtId="0" fontId="10" fillId="0" borderId="11" xfId="0" applyFont="1" applyBorder="1" applyAlignment="1">
      <alignment wrapText="1"/>
    </xf>
    <xf numFmtId="0" fontId="10" fillId="0" borderId="11" xfId="0" applyFont="1" applyBorder="1" applyAlignment="1">
      <alignment horizontal="right" wrapText="1"/>
    </xf>
    <xf numFmtId="3" fontId="0" fillId="0" borderId="11" xfId="0" applyNumberFormat="1" applyFont="1" applyBorder="1" applyAlignment="1">
      <alignment horizontal="right" wrapText="1"/>
    </xf>
    <xf numFmtId="164" fontId="0" fillId="0" borderId="0" xfId="0" applyNumberFormat="1"/>
    <xf numFmtId="3" fontId="0" fillId="13" borderId="0" xfId="0" applyNumberFormat="1" applyFont="1" applyFill="1"/>
    <xf numFmtId="0" fontId="10" fillId="14" borderId="0" xfId="0" applyFont="1" applyFill="1" applyBorder="1" applyAlignment="1">
      <alignment horizontal="right" wrapText="1"/>
    </xf>
    <xf numFmtId="0" fontId="10" fillId="13" borderId="11" xfId="0" applyFont="1" applyFill="1" applyBorder="1" applyAlignment="1">
      <alignment wrapText="1"/>
    </xf>
    <xf numFmtId="3" fontId="0" fillId="15" borderId="0" xfId="0" applyNumberFormat="1" applyFont="1" applyFill="1"/>
    <xf numFmtId="0" fontId="10" fillId="15" borderId="11" xfId="0" applyFont="1" applyFill="1" applyBorder="1" applyAlignment="1">
      <alignment wrapText="1"/>
    </xf>
    <xf numFmtId="0" fontId="10" fillId="16" borderId="11" xfId="0" applyFont="1" applyFill="1" applyBorder="1" applyAlignment="1">
      <alignment wrapText="1"/>
    </xf>
    <xf numFmtId="3" fontId="0" fillId="16" borderId="0" xfId="0" applyNumberFormat="1" applyFont="1" applyFill="1"/>
    <xf numFmtId="0" fontId="10" fillId="7" borderId="11" xfId="0" applyFont="1" applyFill="1" applyBorder="1" applyAlignment="1">
      <alignment wrapText="1"/>
    </xf>
    <xf numFmtId="3" fontId="0" fillId="7" borderId="0" xfId="0" applyNumberFormat="1" applyFont="1" applyFill="1"/>
    <xf numFmtId="3" fontId="0" fillId="14" borderId="0" xfId="0" applyNumberFormat="1" applyFont="1" applyFill="1"/>
    <xf numFmtId="44" fontId="0" fillId="0" borderId="0" xfId="1" applyFont="1"/>
    <xf numFmtId="0" fontId="0" fillId="13" borderId="0" xfId="0" applyFill="1"/>
    <xf numFmtId="44" fontId="0" fillId="0" borderId="0" xfId="1" applyFont="1" applyFill="1"/>
    <xf numFmtId="0" fontId="0" fillId="17" borderId="0" xfId="0" applyFill="1"/>
    <xf numFmtId="0" fontId="12" fillId="0" borderId="0" xfId="0" applyFont="1"/>
    <xf numFmtId="0" fontId="12" fillId="13" borderId="2" xfId="0" applyFont="1" applyFill="1" applyBorder="1"/>
    <xf numFmtId="0" fontId="12" fillId="13" borderId="3" xfId="0" applyFont="1" applyFill="1" applyBorder="1"/>
    <xf numFmtId="165" fontId="0" fillId="0" borderId="0" xfId="1" applyNumberFormat="1" applyFont="1"/>
    <xf numFmtId="165" fontId="0" fillId="17" borderId="0" xfId="1" applyNumberFormat="1" applyFont="1" applyFill="1"/>
    <xf numFmtId="165" fontId="0" fillId="0" borderId="0" xfId="0" applyNumberFormat="1"/>
    <xf numFmtId="165" fontId="13" fillId="13" borderId="4" xfId="0" applyNumberFormat="1" applyFont="1" applyFill="1" applyBorder="1"/>
    <xf numFmtId="0" fontId="0" fillId="0" borderId="0" xfId="0" applyFont="1" applyFill="1" applyBorder="1" applyAlignment="1">
      <alignment horizontal="center"/>
    </xf>
    <xf numFmtId="165" fontId="0" fillId="12" borderId="0" xfId="1" applyNumberFormat="1" applyFont="1" applyFill="1"/>
    <xf numFmtId="0" fontId="0" fillId="3" borderId="12" xfId="0" applyFont="1" applyFill="1" applyBorder="1" applyAlignment="1">
      <alignment horizontal="center"/>
    </xf>
    <xf numFmtId="9" fontId="0" fillId="0" borderId="0" xfId="3" applyFont="1"/>
    <xf numFmtId="0" fontId="0" fillId="4" borderId="1" xfId="0" applyNumberFormat="1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0" fontId="4" fillId="4" borderId="2" xfId="0" applyNumberFormat="1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44" fontId="0" fillId="17" borderId="13" xfId="1" applyFont="1" applyFill="1" applyBorder="1"/>
    <xf numFmtId="166" fontId="0" fillId="4" borderId="1" xfId="2" applyNumberFormat="1" applyFont="1" applyFill="1" applyBorder="1" applyAlignment="1">
      <alignment horizontal="center" wrapText="1"/>
    </xf>
    <xf numFmtId="0" fontId="0" fillId="0" borderId="0" xfId="0" applyFill="1"/>
    <xf numFmtId="9" fontId="0" fillId="0" borderId="0" xfId="0" applyNumberFormat="1" applyFill="1"/>
    <xf numFmtId="43" fontId="0" fillId="0" borderId="0" xfId="2" applyFont="1" applyFill="1" applyBorder="1" applyAlignment="1">
      <alignment horizontal="center" wrapText="1"/>
    </xf>
    <xf numFmtId="44" fontId="0" fillId="13" borderId="0" xfId="1" applyFont="1" applyFill="1"/>
    <xf numFmtId="0" fontId="1" fillId="13" borderId="13" xfId="0" applyFont="1" applyFill="1" applyBorder="1" applyAlignment="1">
      <alignment horizontal="center" wrapText="1"/>
    </xf>
    <xf numFmtId="9" fontId="0" fillId="13" borderId="13" xfId="3" applyFont="1" applyFill="1" applyBorder="1"/>
    <xf numFmtId="0" fontId="0" fillId="0" borderId="13" xfId="0" applyBorder="1"/>
    <xf numFmtId="0" fontId="0" fillId="0" borderId="13" xfId="0" applyNumberFormat="1" applyFont="1" applyFill="1" applyBorder="1" applyAlignment="1">
      <alignment horizontal="center" wrapText="1"/>
    </xf>
    <xf numFmtId="9" fontId="0" fillId="0" borderId="13" xfId="0" applyNumberFormat="1" applyBorder="1"/>
    <xf numFmtId="43" fontId="0" fillId="0" borderId="13" xfId="2" applyFont="1" applyFill="1" applyBorder="1" applyAlignment="1">
      <alignment horizontal="center" wrapText="1"/>
    </xf>
    <xf numFmtId="0" fontId="0" fillId="0" borderId="14" xfId="0" applyBorder="1"/>
    <xf numFmtId="165" fontId="0" fillId="13" borderId="13" xfId="1" applyNumberFormat="1" applyFont="1" applyFill="1" applyBorder="1"/>
    <xf numFmtId="0" fontId="14" fillId="18" borderId="13" xfId="0" applyFont="1" applyFill="1" applyBorder="1" applyAlignment="1">
      <alignment vertical="top" wrapText="1"/>
    </xf>
    <xf numFmtId="3" fontId="0" fillId="0" borderId="0" xfId="0" applyNumberFormat="1"/>
    <xf numFmtId="0" fontId="13" fillId="13" borderId="0" xfId="0" applyFont="1" applyFill="1"/>
    <xf numFmtId="3" fontId="13" fillId="13" borderId="0" xfId="0" applyNumberFormat="1" applyFont="1" applyFill="1"/>
    <xf numFmtId="0" fontId="1" fillId="10" borderId="5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3" fontId="16" fillId="18" borderId="13" xfId="0" applyNumberFormat="1" applyFont="1" applyFill="1" applyBorder="1" applyAlignment="1">
      <alignment vertical="top" wrapText="1"/>
    </xf>
    <xf numFmtId="17" fontId="15" fillId="0" borderId="13" xfId="0" applyNumberFormat="1" applyFont="1" applyBorder="1"/>
    <xf numFmtId="0" fontId="0" fillId="0" borderId="13" xfId="0" applyFont="1" applyBorder="1"/>
    <xf numFmtId="0" fontId="16" fillId="18" borderId="13" xfId="0" applyFont="1" applyFill="1" applyBorder="1" applyAlignment="1">
      <alignment vertical="top" wrapText="1"/>
    </xf>
    <xf numFmtId="17" fontId="14" fillId="18" borderId="13" xfId="0" applyNumberFormat="1" applyFont="1" applyFill="1" applyBorder="1" applyAlignment="1">
      <alignment vertical="top" wrapText="1"/>
    </xf>
    <xf numFmtId="0" fontId="17" fillId="18" borderId="13" xfId="0" applyFont="1" applyFill="1" applyBorder="1" applyAlignment="1">
      <alignment horizontal="center" wrapText="1"/>
    </xf>
    <xf numFmtId="0" fontId="1" fillId="0" borderId="13" xfId="0" applyFont="1" applyBorder="1"/>
    <xf numFmtId="0" fontId="1" fillId="0" borderId="0" xfId="0" applyFont="1"/>
    <xf numFmtId="165" fontId="0" fillId="13" borderId="0" xfId="1" applyNumberFormat="1" applyFont="1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66CC"/>
      <color rgb="FF66FF99"/>
      <color rgb="FFCC0099"/>
      <color rgb="FF66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topLeftCell="A130" zoomScaleNormal="100" zoomScaleSheetLayoutView="80" workbookViewId="0">
      <selection activeCell="G120" sqref="G120"/>
    </sheetView>
  </sheetViews>
  <sheetFormatPr defaultRowHeight="15" x14ac:dyDescent="0.25"/>
  <cols>
    <col min="4" max="4" width="8" bestFit="1" customWidth="1"/>
    <col min="5" max="5" width="12.140625" bestFit="1" customWidth="1"/>
    <col min="6" max="6" width="45.5703125" bestFit="1" customWidth="1"/>
    <col min="7" max="7" width="45.7109375" bestFit="1" customWidth="1"/>
    <col min="8" max="8" width="45.42578125" bestFit="1" customWidth="1"/>
    <col min="9" max="9" width="45.7109375" bestFit="1" customWidth="1"/>
    <col min="10" max="10" width="48.5703125" customWidth="1"/>
    <col min="11" max="11" width="45.85546875" customWidth="1"/>
  </cols>
  <sheetData>
    <row r="1" spans="3:12" ht="15.75" thickBot="1" x14ac:dyDescent="0.3">
      <c r="J1" s="1"/>
    </row>
    <row r="2" spans="3:12" ht="34.5" thickBot="1" x14ac:dyDescent="0.7">
      <c r="E2" s="2"/>
      <c r="F2" s="94" t="s">
        <v>0</v>
      </c>
      <c r="G2" s="95"/>
      <c r="H2" s="96"/>
      <c r="I2" s="2"/>
    </row>
    <row r="3" spans="3:12" ht="15.75" thickBot="1" x14ac:dyDescent="0.3"/>
    <row r="4" spans="3:12" ht="19.5" thickBot="1" x14ac:dyDescent="0.45">
      <c r="C4" s="1"/>
      <c r="E4" s="5" t="s">
        <v>1</v>
      </c>
      <c r="F4" s="6" t="s">
        <v>2</v>
      </c>
      <c r="G4" s="5" t="s">
        <v>7</v>
      </c>
      <c r="H4" s="5" t="s">
        <v>8</v>
      </c>
      <c r="I4" s="5" t="s">
        <v>9</v>
      </c>
      <c r="J4" s="5" t="s">
        <v>10</v>
      </c>
      <c r="K4" s="7" t="s">
        <v>11</v>
      </c>
      <c r="L4" s="3"/>
    </row>
    <row r="5" spans="3:12" ht="15.75" thickBot="1" x14ac:dyDescent="0.3">
      <c r="E5" s="8">
        <v>2016</v>
      </c>
      <c r="F5" s="9" t="s">
        <v>4</v>
      </c>
      <c r="G5" s="8">
        <v>9764</v>
      </c>
      <c r="H5" s="8">
        <v>4638</v>
      </c>
      <c r="I5" s="8">
        <v>0</v>
      </c>
      <c r="J5" s="8">
        <v>0</v>
      </c>
      <c r="K5" s="10">
        <f t="shared" ref="K5:K11" si="0">SUM(G5,H5,I5,J5)</f>
        <v>14402</v>
      </c>
    </row>
    <row r="6" spans="3:12" ht="15.75" thickBot="1" x14ac:dyDescent="0.3">
      <c r="E6" s="8">
        <v>2016</v>
      </c>
      <c r="F6" s="9" t="s">
        <v>5</v>
      </c>
      <c r="G6" s="8">
        <v>16047</v>
      </c>
      <c r="H6" s="8">
        <v>8774</v>
      </c>
      <c r="I6" s="8">
        <v>0</v>
      </c>
      <c r="J6" s="8">
        <v>0</v>
      </c>
      <c r="K6" s="10">
        <f t="shared" si="0"/>
        <v>24821</v>
      </c>
    </row>
    <row r="7" spans="3:12" ht="15.75" thickBot="1" x14ac:dyDescent="0.3">
      <c r="E7" s="8">
        <v>2016</v>
      </c>
      <c r="F7" s="9" t="s">
        <v>6</v>
      </c>
      <c r="G7" s="8">
        <v>12700</v>
      </c>
      <c r="H7" s="8">
        <v>9500</v>
      </c>
      <c r="I7" s="8">
        <v>0</v>
      </c>
      <c r="J7" s="8">
        <v>0</v>
      </c>
      <c r="K7" s="10">
        <f t="shared" si="0"/>
        <v>22200</v>
      </c>
    </row>
    <row r="8" spans="3:12" ht="15.75" thickBot="1" x14ac:dyDescent="0.3">
      <c r="E8" s="8">
        <v>2017</v>
      </c>
      <c r="F8" s="9" t="s">
        <v>3</v>
      </c>
      <c r="G8" s="8">
        <v>13481</v>
      </c>
      <c r="H8" s="8">
        <v>11570</v>
      </c>
      <c r="I8" s="8">
        <v>0</v>
      </c>
      <c r="J8" s="8">
        <v>0</v>
      </c>
      <c r="K8" s="10">
        <f t="shared" si="0"/>
        <v>25051</v>
      </c>
    </row>
    <row r="9" spans="3:12" ht="15.75" thickBot="1" x14ac:dyDescent="0.3">
      <c r="E9" s="8">
        <v>2017</v>
      </c>
      <c r="F9" s="9" t="s">
        <v>4</v>
      </c>
      <c r="G9" s="8">
        <v>12010</v>
      </c>
      <c r="H9" s="8">
        <v>10010</v>
      </c>
      <c r="I9" s="8">
        <v>0</v>
      </c>
      <c r="J9" s="8">
        <v>0</v>
      </c>
      <c r="K9" s="10">
        <f t="shared" si="0"/>
        <v>22020</v>
      </c>
    </row>
    <row r="10" spans="3:12" ht="15.75" thickBot="1" x14ac:dyDescent="0.3">
      <c r="E10" s="8">
        <v>2017</v>
      </c>
      <c r="F10" s="9" t="s">
        <v>5</v>
      </c>
      <c r="G10" s="8">
        <v>14065</v>
      </c>
      <c r="H10" s="8">
        <v>11865</v>
      </c>
      <c r="I10" s="8">
        <v>220</v>
      </c>
      <c r="J10" s="8">
        <v>0</v>
      </c>
      <c r="K10" s="10">
        <f t="shared" si="0"/>
        <v>26150</v>
      </c>
    </row>
    <row r="11" spans="3:12" ht="15.75" thickBot="1" x14ac:dyDescent="0.3">
      <c r="E11" s="8">
        <v>2017</v>
      </c>
      <c r="F11" s="9" t="s">
        <v>6</v>
      </c>
      <c r="G11" s="8">
        <v>15200</v>
      </c>
      <c r="H11" s="8">
        <v>13120</v>
      </c>
      <c r="I11" s="8">
        <v>1550</v>
      </c>
      <c r="J11" s="8">
        <v>0</v>
      </c>
      <c r="K11" s="10">
        <f t="shared" si="0"/>
        <v>29870</v>
      </c>
    </row>
    <row r="12" spans="3:12" ht="15.75" thickBot="1" x14ac:dyDescent="0.3">
      <c r="E12" s="8">
        <v>2018</v>
      </c>
      <c r="F12" s="9" t="s">
        <v>3</v>
      </c>
      <c r="G12" s="8">
        <v>11730</v>
      </c>
      <c r="H12" s="8">
        <v>10070</v>
      </c>
      <c r="I12" s="8">
        <v>8180</v>
      </c>
      <c r="J12" s="8">
        <v>0</v>
      </c>
      <c r="K12" s="10">
        <f t="shared" ref="K12:K34" si="1">SUM(G12,H12,I12,J12)</f>
        <v>29980</v>
      </c>
    </row>
    <row r="13" spans="3:12" ht="15.75" thickBot="1" x14ac:dyDescent="0.3">
      <c r="E13" s="8">
        <v>2018</v>
      </c>
      <c r="F13" s="9" t="s">
        <v>4</v>
      </c>
      <c r="G13" s="8">
        <v>10930</v>
      </c>
      <c r="H13" s="8">
        <v>11370</v>
      </c>
      <c r="I13" s="8">
        <v>18440</v>
      </c>
      <c r="J13" s="8">
        <v>0</v>
      </c>
      <c r="K13" s="10">
        <f t="shared" si="1"/>
        <v>40740</v>
      </c>
    </row>
    <row r="14" spans="3:12" ht="15.75" thickBot="1" x14ac:dyDescent="0.3">
      <c r="E14" s="8">
        <v>2018</v>
      </c>
      <c r="F14" s="9" t="s">
        <v>5</v>
      </c>
      <c r="G14" s="8">
        <v>14470</v>
      </c>
      <c r="H14" s="8">
        <v>13190</v>
      </c>
      <c r="I14" s="8">
        <v>55840</v>
      </c>
      <c r="J14" s="8">
        <v>0</v>
      </c>
      <c r="K14" s="10">
        <f t="shared" si="1"/>
        <v>83500</v>
      </c>
    </row>
    <row r="15" spans="3:12" ht="15.75" thickBot="1" x14ac:dyDescent="0.3">
      <c r="E15" s="8">
        <v>2018</v>
      </c>
      <c r="F15" s="9" t="s">
        <v>6</v>
      </c>
      <c r="G15" s="8">
        <v>13500</v>
      </c>
      <c r="H15" s="8">
        <v>14050</v>
      </c>
      <c r="I15" s="8">
        <v>63150</v>
      </c>
      <c r="J15" s="8">
        <v>0</v>
      </c>
      <c r="K15" s="10">
        <f t="shared" si="1"/>
        <v>90700</v>
      </c>
    </row>
    <row r="16" spans="3:12" ht="15.75" thickBot="1" x14ac:dyDescent="0.3">
      <c r="E16" s="8">
        <v>2019</v>
      </c>
      <c r="F16" s="9" t="s">
        <v>3</v>
      </c>
      <c r="G16" s="8">
        <v>6000</v>
      </c>
      <c r="H16" s="8">
        <v>6100</v>
      </c>
      <c r="I16" s="8">
        <v>50900</v>
      </c>
      <c r="J16" s="8">
        <v>0</v>
      </c>
      <c r="K16" s="10">
        <f t="shared" si="1"/>
        <v>63000</v>
      </c>
    </row>
    <row r="17" spans="5:11" ht="15.75" thickBot="1" x14ac:dyDescent="0.3">
      <c r="E17" s="8">
        <v>2019</v>
      </c>
      <c r="F17" s="9" t="s">
        <v>4</v>
      </c>
      <c r="G17" s="8">
        <v>8422</v>
      </c>
      <c r="H17" s="8">
        <v>9300</v>
      </c>
      <c r="I17" s="8">
        <v>77634</v>
      </c>
      <c r="J17" s="8">
        <v>0</v>
      </c>
      <c r="K17" s="10">
        <f t="shared" si="1"/>
        <v>95356</v>
      </c>
    </row>
    <row r="18" spans="5:11" ht="15.75" thickBot="1" x14ac:dyDescent="0.3">
      <c r="E18" s="8">
        <v>2019</v>
      </c>
      <c r="F18" s="9" t="s">
        <v>5</v>
      </c>
      <c r="G18" s="8">
        <v>8383</v>
      </c>
      <c r="H18" s="8">
        <v>9100</v>
      </c>
      <c r="I18" s="8">
        <v>79703</v>
      </c>
      <c r="J18" s="8">
        <v>0</v>
      </c>
      <c r="K18" s="10">
        <f t="shared" si="1"/>
        <v>97186</v>
      </c>
    </row>
    <row r="19" spans="5:11" ht="12.75" customHeight="1" thickBot="1" x14ac:dyDescent="0.3">
      <c r="E19" s="8">
        <v>2019</v>
      </c>
      <c r="F19" s="9" t="s">
        <v>6</v>
      </c>
      <c r="G19" s="8">
        <v>8375</v>
      </c>
      <c r="H19" s="8">
        <v>11100</v>
      </c>
      <c r="I19" s="8">
        <v>92620</v>
      </c>
      <c r="J19" s="8">
        <v>0</v>
      </c>
      <c r="K19" s="10">
        <f t="shared" si="1"/>
        <v>112095</v>
      </c>
    </row>
    <row r="20" spans="5:11" ht="15.75" thickBot="1" x14ac:dyDescent="0.3">
      <c r="E20" s="8">
        <v>2020</v>
      </c>
      <c r="F20" s="9" t="s">
        <v>3</v>
      </c>
      <c r="G20" s="8">
        <v>4525</v>
      </c>
      <c r="H20" s="8">
        <v>7705</v>
      </c>
      <c r="I20" s="8">
        <v>73975</v>
      </c>
      <c r="J20" s="8">
        <v>2291</v>
      </c>
      <c r="K20" s="10">
        <f t="shared" si="1"/>
        <v>88496</v>
      </c>
    </row>
    <row r="21" spans="5:11" ht="15.75" thickBot="1" x14ac:dyDescent="0.3">
      <c r="E21" s="8">
        <v>2020</v>
      </c>
      <c r="F21" s="9" t="s">
        <v>4</v>
      </c>
      <c r="G21" s="8">
        <v>3927</v>
      </c>
      <c r="H21" s="8">
        <v>6687</v>
      </c>
      <c r="I21" s="8">
        <v>63793</v>
      </c>
      <c r="J21" s="8">
        <v>16484</v>
      </c>
      <c r="K21" s="10">
        <f t="shared" si="1"/>
        <v>90891</v>
      </c>
    </row>
    <row r="22" spans="5:11" ht="15.75" thickBot="1" x14ac:dyDescent="0.3">
      <c r="E22" s="8">
        <v>2020</v>
      </c>
      <c r="F22" s="9" t="s">
        <v>5</v>
      </c>
      <c r="G22" s="8">
        <v>4583</v>
      </c>
      <c r="H22" s="8">
        <v>10693</v>
      </c>
      <c r="I22" s="8">
        <v>94049</v>
      </c>
      <c r="J22" s="8">
        <v>30269</v>
      </c>
      <c r="K22" s="10">
        <f t="shared" si="1"/>
        <v>139594</v>
      </c>
    </row>
    <row r="23" spans="5:11" ht="15.75" thickBot="1" x14ac:dyDescent="0.3">
      <c r="E23" s="8">
        <v>2020</v>
      </c>
      <c r="F23" s="9" t="s">
        <v>6</v>
      </c>
      <c r="G23" s="8">
        <v>6060</v>
      </c>
      <c r="H23" s="8">
        <v>12860</v>
      </c>
      <c r="I23" s="8">
        <v>126624</v>
      </c>
      <c r="J23" s="8">
        <v>35123</v>
      </c>
      <c r="K23" s="10">
        <f t="shared" si="1"/>
        <v>180667</v>
      </c>
    </row>
    <row r="24" spans="5:11" ht="15.75" thickBot="1" x14ac:dyDescent="0.3">
      <c r="E24" s="8">
        <v>2021</v>
      </c>
      <c r="F24" s="9" t="s">
        <v>3</v>
      </c>
      <c r="G24" s="8">
        <v>1010</v>
      </c>
      <c r="H24" s="8">
        <v>1010</v>
      </c>
      <c r="I24" s="8">
        <v>115077</v>
      </c>
      <c r="J24" s="8">
        <v>67780</v>
      </c>
      <c r="K24" s="10">
        <f t="shared" si="1"/>
        <v>184877</v>
      </c>
    </row>
    <row r="25" spans="5:11" ht="15.75" thickBot="1" x14ac:dyDescent="0.3">
      <c r="E25" s="8">
        <v>2021</v>
      </c>
      <c r="F25" s="9" t="s">
        <v>4</v>
      </c>
      <c r="G25" s="8">
        <v>890</v>
      </c>
      <c r="H25" s="8">
        <v>1000</v>
      </c>
      <c r="I25" s="8">
        <v>110054</v>
      </c>
      <c r="J25" s="8">
        <v>89360</v>
      </c>
      <c r="K25" s="10">
        <f t="shared" si="1"/>
        <v>201304</v>
      </c>
    </row>
    <row r="26" spans="5:11" ht="15.75" thickBot="1" x14ac:dyDescent="0.3">
      <c r="E26" s="8">
        <v>2021</v>
      </c>
      <c r="F26" s="9" t="s">
        <v>5</v>
      </c>
      <c r="G26" s="8">
        <v>9000</v>
      </c>
      <c r="H26" s="8">
        <v>275</v>
      </c>
      <c r="I26" s="8">
        <v>111225</v>
      </c>
      <c r="J26" s="8">
        <v>120800</v>
      </c>
      <c r="K26" s="10">
        <f t="shared" si="1"/>
        <v>241300</v>
      </c>
    </row>
    <row r="27" spans="5:11" ht="15.75" thickBot="1" x14ac:dyDescent="0.3">
      <c r="E27" s="8">
        <v>2021</v>
      </c>
      <c r="F27" s="9" t="s">
        <v>6</v>
      </c>
      <c r="G27" s="8">
        <v>4050</v>
      </c>
      <c r="H27" s="8">
        <v>7700</v>
      </c>
      <c r="I27" s="8">
        <v>140000</v>
      </c>
      <c r="J27" s="8">
        <v>156850</v>
      </c>
      <c r="K27" s="10">
        <f t="shared" si="1"/>
        <v>308600</v>
      </c>
    </row>
    <row r="28" spans="5:11" ht="15.75" thickBot="1" x14ac:dyDescent="0.3">
      <c r="E28" s="8">
        <v>2022</v>
      </c>
      <c r="F28" s="9" t="s">
        <v>3</v>
      </c>
      <c r="G28" s="8">
        <v>7362</v>
      </c>
      <c r="H28" s="8">
        <v>7362</v>
      </c>
      <c r="I28" s="8">
        <v>129764</v>
      </c>
      <c r="J28" s="8">
        <v>165560</v>
      </c>
      <c r="K28" s="10">
        <f t="shared" si="1"/>
        <v>310048</v>
      </c>
    </row>
    <row r="29" spans="5:11" ht="15.75" thickBot="1" x14ac:dyDescent="0.3">
      <c r="E29" s="8">
        <v>2022</v>
      </c>
      <c r="F29" s="9" t="s">
        <v>4</v>
      </c>
      <c r="G29" s="8">
        <v>8081</v>
      </c>
      <c r="H29" s="8">
        <v>8081</v>
      </c>
      <c r="I29" s="8">
        <v>100066</v>
      </c>
      <c r="J29" s="8">
        <v>138467</v>
      </c>
      <c r="K29" s="10">
        <f t="shared" si="1"/>
        <v>254695</v>
      </c>
    </row>
    <row r="30" spans="5:11" ht="15.75" thickBot="1" x14ac:dyDescent="0.3">
      <c r="E30" s="8">
        <v>2022</v>
      </c>
      <c r="F30" s="9" t="s">
        <v>5</v>
      </c>
      <c r="G30" s="8">
        <v>7469</v>
      </c>
      <c r="H30" s="8">
        <v>11203</v>
      </c>
      <c r="I30" s="8">
        <v>120308</v>
      </c>
      <c r="J30" s="8">
        <v>204850</v>
      </c>
      <c r="K30" s="10">
        <f t="shared" si="1"/>
        <v>343830</v>
      </c>
    </row>
    <row r="31" spans="5:11" ht="15.75" thickBot="1" x14ac:dyDescent="0.3">
      <c r="E31" s="8">
        <v>2022</v>
      </c>
      <c r="F31" s="9" t="s">
        <v>6</v>
      </c>
      <c r="G31" s="8">
        <v>6344</v>
      </c>
      <c r="H31" s="8">
        <v>10803</v>
      </c>
      <c r="I31" s="8">
        <v>135846</v>
      </c>
      <c r="J31" s="8">
        <v>252285</v>
      </c>
      <c r="K31" s="10">
        <f t="shared" si="1"/>
        <v>405278</v>
      </c>
    </row>
    <row r="32" spans="5:11" ht="15.75" thickBot="1" x14ac:dyDescent="0.3">
      <c r="E32" s="8">
        <v>2023</v>
      </c>
      <c r="F32" s="9" t="s">
        <v>3</v>
      </c>
      <c r="G32" s="8">
        <v>3695</v>
      </c>
      <c r="H32" s="8">
        <v>7000</v>
      </c>
      <c r="I32" s="8">
        <v>132180</v>
      </c>
      <c r="J32" s="8">
        <v>280000</v>
      </c>
      <c r="K32" s="10">
        <f t="shared" si="1"/>
        <v>422875</v>
      </c>
    </row>
    <row r="33" spans="1:11" ht="15.75" thickBot="1" x14ac:dyDescent="0.3">
      <c r="E33" s="8">
        <v>2023</v>
      </c>
      <c r="F33" s="9" t="s">
        <v>4</v>
      </c>
      <c r="G33" s="8">
        <v>6225</v>
      </c>
      <c r="H33" s="8">
        <v>13000</v>
      </c>
      <c r="I33" s="8">
        <v>146915</v>
      </c>
      <c r="J33" s="8">
        <v>300000</v>
      </c>
      <c r="K33" s="10">
        <f t="shared" si="1"/>
        <v>466140</v>
      </c>
    </row>
    <row r="34" spans="1:11" ht="15.75" thickBot="1" x14ac:dyDescent="0.3">
      <c r="E34" s="8">
        <v>2023</v>
      </c>
      <c r="F34" s="9" t="s">
        <v>5</v>
      </c>
      <c r="G34" s="8">
        <v>5985</v>
      </c>
      <c r="H34" s="8">
        <v>10000</v>
      </c>
      <c r="I34" s="8">
        <v>117074</v>
      </c>
      <c r="J34" s="8">
        <v>302000</v>
      </c>
      <c r="K34" s="10">
        <f t="shared" si="1"/>
        <v>435059</v>
      </c>
    </row>
    <row r="35" spans="1:11" ht="15.75" thickBot="1" x14ac:dyDescent="0.3">
      <c r="E35" s="1"/>
      <c r="F35" s="1"/>
      <c r="G35" s="1"/>
      <c r="H35" s="1"/>
      <c r="I35" s="1"/>
      <c r="J35" s="1"/>
    </row>
    <row r="36" spans="1:11" ht="38.25" thickBot="1" x14ac:dyDescent="0.45">
      <c r="A36" s="25" t="s">
        <v>75</v>
      </c>
      <c r="E36" s="13" t="s">
        <v>1</v>
      </c>
      <c r="F36" s="13" t="s">
        <v>59</v>
      </c>
      <c r="G36" s="13" t="s">
        <v>60</v>
      </c>
      <c r="H36" s="13" t="s">
        <v>61</v>
      </c>
      <c r="I36" s="13" t="s">
        <v>62</v>
      </c>
      <c r="J36" s="13" t="s">
        <v>63</v>
      </c>
      <c r="K36" s="13" t="s">
        <v>64</v>
      </c>
    </row>
    <row r="37" spans="1:11" ht="16.5" thickBot="1" x14ac:dyDescent="0.3">
      <c r="E37" s="14">
        <v>2016</v>
      </c>
      <c r="F37" s="14" t="s">
        <v>13</v>
      </c>
      <c r="G37" s="14" t="s">
        <v>14</v>
      </c>
      <c r="H37" s="14" t="s">
        <v>15</v>
      </c>
      <c r="I37" s="14" t="s">
        <v>16</v>
      </c>
      <c r="J37" s="14" t="s">
        <v>17</v>
      </c>
      <c r="K37" s="15" t="s">
        <v>18</v>
      </c>
    </row>
    <row r="38" spans="1:11" ht="16.5" thickBot="1" x14ac:dyDescent="0.3">
      <c r="E38" s="14">
        <v>2017</v>
      </c>
      <c r="F38" s="14" t="s">
        <v>19</v>
      </c>
      <c r="G38" s="14" t="s">
        <v>20</v>
      </c>
      <c r="H38" s="14" t="s">
        <v>21</v>
      </c>
      <c r="I38" s="14" t="s">
        <v>22</v>
      </c>
      <c r="J38" s="14" t="s">
        <v>23</v>
      </c>
      <c r="K38" s="15" t="s">
        <v>24</v>
      </c>
    </row>
    <row r="39" spans="1:11" ht="16.5" thickBot="1" x14ac:dyDescent="0.3">
      <c r="E39" s="14">
        <v>2018</v>
      </c>
      <c r="F39" s="14" t="s">
        <v>25</v>
      </c>
      <c r="G39" s="14" t="s">
        <v>26</v>
      </c>
      <c r="H39" s="14" t="s">
        <v>27</v>
      </c>
      <c r="I39" s="14" t="s">
        <v>28</v>
      </c>
      <c r="J39" s="14" t="s">
        <v>29</v>
      </c>
      <c r="K39" s="15" t="s">
        <v>30</v>
      </c>
    </row>
    <row r="40" spans="1:11" ht="16.5" thickBot="1" x14ac:dyDescent="0.3">
      <c r="E40" s="14">
        <v>2019</v>
      </c>
      <c r="F40" s="14" t="s">
        <v>31</v>
      </c>
      <c r="G40" s="14" t="s">
        <v>32</v>
      </c>
      <c r="H40" s="14" t="s">
        <v>33</v>
      </c>
      <c r="I40" s="14" t="s">
        <v>34</v>
      </c>
      <c r="J40" s="14" t="s">
        <v>35</v>
      </c>
      <c r="K40" s="15" t="s">
        <v>36</v>
      </c>
    </row>
    <row r="41" spans="1:11" ht="16.5" thickBot="1" x14ac:dyDescent="0.3">
      <c r="E41" s="14">
        <v>2020</v>
      </c>
      <c r="F41" s="14" t="s">
        <v>37</v>
      </c>
      <c r="G41" s="14" t="s">
        <v>38</v>
      </c>
      <c r="H41" s="14" t="s">
        <v>39</v>
      </c>
      <c r="I41" s="14" t="s">
        <v>40</v>
      </c>
      <c r="J41" s="14" t="s">
        <v>41</v>
      </c>
      <c r="K41" s="15" t="s">
        <v>42</v>
      </c>
    </row>
    <row r="42" spans="1:11" ht="16.5" thickBot="1" x14ac:dyDescent="0.3">
      <c r="E42" s="14">
        <v>2021</v>
      </c>
      <c r="F42" s="14" t="s">
        <v>43</v>
      </c>
      <c r="G42" s="14" t="s">
        <v>44</v>
      </c>
      <c r="H42" s="14" t="s">
        <v>45</v>
      </c>
      <c r="I42" s="14" t="s">
        <v>46</v>
      </c>
      <c r="J42" s="14" t="s">
        <v>47</v>
      </c>
      <c r="K42" s="15" t="s">
        <v>48</v>
      </c>
    </row>
    <row r="43" spans="1:11" ht="16.5" thickBot="1" x14ac:dyDescent="0.3">
      <c r="E43" s="14">
        <v>2022</v>
      </c>
      <c r="F43" s="14" t="s">
        <v>49</v>
      </c>
      <c r="G43" s="14" t="s">
        <v>45</v>
      </c>
      <c r="H43" s="14" t="s">
        <v>50</v>
      </c>
      <c r="I43" s="14" t="s">
        <v>51</v>
      </c>
      <c r="J43" s="14" t="s">
        <v>52</v>
      </c>
      <c r="K43" s="15" t="s">
        <v>53</v>
      </c>
    </row>
    <row r="44" spans="1:11" ht="16.5" thickBot="1" x14ac:dyDescent="0.3">
      <c r="E44" s="14">
        <v>2023</v>
      </c>
      <c r="F44" s="14" t="s">
        <v>54</v>
      </c>
      <c r="G44" s="14" t="s">
        <v>50</v>
      </c>
      <c r="H44" s="14" t="s">
        <v>55</v>
      </c>
      <c r="I44" s="14" t="s">
        <v>56</v>
      </c>
      <c r="J44" s="14" t="s">
        <v>57</v>
      </c>
      <c r="K44" s="15" t="s">
        <v>58</v>
      </c>
    </row>
    <row r="45" spans="1:11" ht="15.75" thickBot="1" x14ac:dyDescent="0.3">
      <c r="E45" s="4"/>
    </row>
    <row r="46" spans="1:11" ht="27" thickBot="1" x14ac:dyDescent="0.45">
      <c r="A46" s="25" t="s">
        <v>76</v>
      </c>
      <c r="E46" s="16" t="s">
        <v>69</v>
      </c>
      <c r="F46" s="17" t="s">
        <v>65</v>
      </c>
      <c r="G46" s="17" t="s">
        <v>66</v>
      </c>
      <c r="H46" s="17" t="s">
        <v>67</v>
      </c>
      <c r="I46" s="17" t="s">
        <v>68</v>
      </c>
    </row>
    <row r="47" spans="1:11" ht="15.75" thickBot="1" x14ac:dyDescent="0.3">
      <c r="E47" s="11">
        <v>2016</v>
      </c>
      <c r="F47" s="18">
        <v>85000</v>
      </c>
      <c r="G47" s="18">
        <v>90000</v>
      </c>
      <c r="H47" s="18">
        <v>45000</v>
      </c>
      <c r="I47" s="11">
        <v>0</v>
      </c>
    </row>
    <row r="48" spans="1:11" ht="15.75" thickBot="1" x14ac:dyDescent="0.3">
      <c r="E48" s="11">
        <v>2017</v>
      </c>
      <c r="F48" s="18">
        <v>85000</v>
      </c>
      <c r="G48" s="18">
        <v>90000</v>
      </c>
      <c r="H48" s="18">
        <v>45000</v>
      </c>
      <c r="I48" s="11">
        <v>0</v>
      </c>
    </row>
    <row r="49" spans="1:10" ht="15.75" thickBot="1" x14ac:dyDescent="0.3">
      <c r="E49" s="11">
        <v>2018</v>
      </c>
      <c r="F49" s="18">
        <v>75000</v>
      </c>
      <c r="G49" s="18">
        <v>80000</v>
      </c>
      <c r="H49" s="18">
        <v>40000</v>
      </c>
      <c r="I49" s="11">
        <v>0</v>
      </c>
    </row>
    <row r="50" spans="1:10" ht="15.75" thickBot="1" x14ac:dyDescent="0.3">
      <c r="E50" s="11">
        <v>2019</v>
      </c>
      <c r="F50" s="18">
        <v>70000</v>
      </c>
      <c r="G50" s="18">
        <v>75000</v>
      </c>
      <c r="H50" s="18">
        <v>35000</v>
      </c>
      <c r="I50" s="11">
        <v>0</v>
      </c>
    </row>
    <row r="51" spans="1:10" ht="15.75" thickBot="1" x14ac:dyDescent="0.3">
      <c r="E51" s="11">
        <v>2020</v>
      </c>
      <c r="F51" s="18">
        <v>60000</v>
      </c>
      <c r="G51" s="18">
        <v>65000</v>
      </c>
      <c r="H51" s="18">
        <v>33000</v>
      </c>
      <c r="I51" s="18">
        <v>40000</v>
      </c>
    </row>
    <row r="52" spans="1:10" ht="15.75" thickBot="1" x14ac:dyDescent="0.3">
      <c r="E52" s="11">
        <v>2021</v>
      </c>
      <c r="F52" s="18">
        <v>55000</v>
      </c>
      <c r="G52" s="18">
        <v>60000</v>
      </c>
      <c r="H52" s="18">
        <v>32000</v>
      </c>
      <c r="I52" s="18">
        <v>38000</v>
      </c>
    </row>
    <row r="53" spans="1:10" ht="15.75" thickBot="1" x14ac:dyDescent="0.3">
      <c r="E53" s="11">
        <v>2022</v>
      </c>
      <c r="F53" s="18">
        <v>55000</v>
      </c>
      <c r="G53" s="18">
        <v>60000</v>
      </c>
      <c r="H53" s="18">
        <v>31000</v>
      </c>
      <c r="I53" s="18">
        <v>36000</v>
      </c>
    </row>
    <row r="54" spans="1:10" ht="15.75" thickBot="1" x14ac:dyDescent="0.3">
      <c r="E54" s="11">
        <v>2023</v>
      </c>
      <c r="F54" s="18">
        <v>55000</v>
      </c>
      <c r="G54" s="18">
        <v>60000</v>
      </c>
      <c r="H54" s="18">
        <v>30000</v>
      </c>
      <c r="I54" s="18">
        <v>35000</v>
      </c>
    </row>
    <row r="55" spans="1:10" ht="15.75" thickBot="1" x14ac:dyDescent="0.3"/>
    <row r="56" spans="1:10" ht="27" thickBot="1" x14ac:dyDescent="0.45">
      <c r="A56" s="25" t="s">
        <v>74</v>
      </c>
      <c r="E56" s="19" t="s">
        <v>1</v>
      </c>
      <c r="F56" s="20" t="s">
        <v>74</v>
      </c>
      <c r="G56" s="19" t="s">
        <v>7</v>
      </c>
      <c r="H56" s="19" t="s">
        <v>8</v>
      </c>
      <c r="I56" s="19" t="s">
        <v>9</v>
      </c>
      <c r="J56" s="19" t="s">
        <v>10</v>
      </c>
    </row>
    <row r="57" spans="1:10" ht="16.5" thickBot="1" x14ac:dyDescent="0.3">
      <c r="E57" s="12">
        <v>2016</v>
      </c>
      <c r="F57" s="21" t="s">
        <v>70</v>
      </c>
      <c r="G57" s="22">
        <v>150000000</v>
      </c>
      <c r="H57" s="23">
        <v>100000000</v>
      </c>
      <c r="I57" s="23">
        <v>50000000</v>
      </c>
      <c r="J57" s="23">
        <v>50000000</v>
      </c>
    </row>
    <row r="58" spans="1:10" ht="16.5" thickBot="1" x14ac:dyDescent="0.3">
      <c r="E58" s="12">
        <v>2016</v>
      </c>
      <c r="F58" s="21" t="s">
        <v>71</v>
      </c>
      <c r="G58" s="22">
        <v>120000000</v>
      </c>
      <c r="H58" s="23">
        <v>100000000</v>
      </c>
      <c r="I58" s="23">
        <v>50000000</v>
      </c>
      <c r="J58" s="23">
        <v>30000000</v>
      </c>
    </row>
    <row r="59" spans="1:10" ht="16.5" thickBot="1" x14ac:dyDescent="0.3">
      <c r="E59" s="12">
        <v>2016</v>
      </c>
      <c r="F59" s="21" t="s">
        <v>72</v>
      </c>
      <c r="G59" s="22">
        <v>20000000</v>
      </c>
      <c r="H59" s="23">
        <v>20000000</v>
      </c>
      <c r="I59" s="23">
        <v>20000000</v>
      </c>
      <c r="J59" s="23">
        <v>10000000</v>
      </c>
    </row>
    <row r="60" spans="1:10" ht="16.5" thickBot="1" x14ac:dyDescent="0.3">
      <c r="E60" s="12">
        <v>2016</v>
      </c>
      <c r="F60" s="21" t="s">
        <v>73</v>
      </c>
      <c r="G60" s="22">
        <v>90000000</v>
      </c>
      <c r="H60" s="23">
        <v>30000000</v>
      </c>
      <c r="I60" s="23">
        <v>30000000</v>
      </c>
      <c r="J60" s="23">
        <v>10000000</v>
      </c>
    </row>
    <row r="61" spans="1:10" ht="16.5" thickBot="1" x14ac:dyDescent="0.3">
      <c r="E61" s="12">
        <v>2017</v>
      </c>
      <c r="F61" s="21" t="s">
        <v>70</v>
      </c>
      <c r="G61" s="22">
        <v>200000000</v>
      </c>
      <c r="H61" s="23">
        <v>150000000</v>
      </c>
      <c r="I61" s="23">
        <v>100000000</v>
      </c>
      <c r="J61" s="23">
        <v>100000000</v>
      </c>
    </row>
    <row r="62" spans="1:10" ht="16.5" thickBot="1" x14ac:dyDescent="0.3">
      <c r="E62" s="12">
        <v>2017</v>
      </c>
      <c r="F62" s="21" t="s">
        <v>71</v>
      </c>
      <c r="G62" s="22">
        <v>150000000</v>
      </c>
      <c r="H62" s="23">
        <v>150000000</v>
      </c>
      <c r="I62" s="23">
        <v>150000000</v>
      </c>
      <c r="J62" s="23">
        <v>70000000</v>
      </c>
    </row>
    <row r="63" spans="1:10" ht="16.5" thickBot="1" x14ac:dyDescent="0.3">
      <c r="E63" s="12">
        <v>2017</v>
      </c>
      <c r="F63" s="21" t="s">
        <v>72</v>
      </c>
      <c r="G63" s="22">
        <v>30000000</v>
      </c>
      <c r="H63" s="23">
        <v>30000000</v>
      </c>
      <c r="I63" s="23">
        <v>30000000</v>
      </c>
      <c r="J63" s="23">
        <v>10000000</v>
      </c>
    </row>
    <row r="64" spans="1:10" ht="16.5" thickBot="1" x14ac:dyDescent="0.3">
      <c r="E64" s="12">
        <v>2017</v>
      </c>
      <c r="F64" s="21" t="s">
        <v>73</v>
      </c>
      <c r="G64" s="22">
        <v>120000000</v>
      </c>
      <c r="H64" s="23">
        <v>100000000</v>
      </c>
      <c r="I64" s="23">
        <v>120000000</v>
      </c>
      <c r="J64" s="23">
        <v>50000000</v>
      </c>
    </row>
    <row r="65" spans="5:10" ht="16.5" thickBot="1" x14ac:dyDescent="0.3">
      <c r="E65" s="12">
        <v>2018</v>
      </c>
      <c r="F65" s="21" t="s">
        <v>70</v>
      </c>
      <c r="G65" s="22">
        <v>250000000</v>
      </c>
      <c r="H65" s="23">
        <v>200000000</v>
      </c>
      <c r="I65" s="23">
        <v>120000000</v>
      </c>
      <c r="J65" s="23">
        <v>100000000</v>
      </c>
    </row>
    <row r="66" spans="5:10" ht="16.5" thickBot="1" x14ac:dyDescent="0.3">
      <c r="E66" s="12">
        <v>2018</v>
      </c>
      <c r="F66" s="21" t="s">
        <v>71</v>
      </c>
      <c r="G66" s="22">
        <v>200000000</v>
      </c>
      <c r="H66" s="23">
        <v>200000000</v>
      </c>
      <c r="I66" s="23">
        <v>180000000</v>
      </c>
      <c r="J66" s="23">
        <v>80000000</v>
      </c>
    </row>
    <row r="67" spans="5:10" ht="16.5" thickBot="1" x14ac:dyDescent="0.3">
      <c r="E67" s="12">
        <v>2018</v>
      </c>
      <c r="F67" s="21" t="s">
        <v>72</v>
      </c>
      <c r="G67" s="22">
        <v>50000000</v>
      </c>
      <c r="H67" s="23">
        <v>40000000</v>
      </c>
      <c r="I67" s="23">
        <v>40000000</v>
      </c>
      <c r="J67" s="23">
        <v>20000000</v>
      </c>
    </row>
    <row r="68" spans="5:10" ht="16.5" thickBot="1" x14ac:dyDescent="0.3">
      <c r="E68" s="12">
        <v>2018</v>
      </c>
      <c r="F68" s="21" t="s">
        <v>73</v>
      </c>
      <c r="G68" s="22">
        <v>100000000</v>
      </c>
      <c r="H68" s="23">
        <v>120000000</v>
      </c>
      <c r="I68" s="23">
        <v>110000000</v>
      </c>
      <c r="J68" s="23">
        <v>60000000</v>
      </c>
    </row>
    <row r="69" spans="5:10" ht="16.5" thickBot="1" x14ac:dyDescent="0.3">
      <c r="E69" s="12">
        <v>2019</v>
      </c>
      <c r="F69" s="21" t="s">
        <v>70</v>
      </c>
      <c r="G69" s="22">
        <v>300000000</v>
      </c>
      <c r="H69" s="23">
        <v>250000000</v>
      </c>
      <c r="I69" s="23">
        <v>180000000</v>
      </c>
      <c r="J69" s="23">
        <v>120000000</v>
      </c>
    </row>
    <row r="70" spans="5:10" ht="16.5" thickBot="1" x14ac:dyDescent="0.3">
      <c r="E70" s="12">
        <v>2019</v>
      </c>
      <c r="F70" s="21" t="s">
        <v>71</v>
      </c>
      <c r="G70" s="22">
        <v>250000000</v>
      </c>
      <c r="H70" s="23">
        <v>200000000</v>
      </c>
      <c r="I70" s="23">
        <v>300000000</v>
      </c>
      <c r="J70" s="23">
        <v>100000000</v>
      </c>
    </row>
    <row r="71" spans="5:10" ht="16.5" thickBot="1" x14ac:dyDescent="0.3">
      <c r="E71" s="12">
        <v>2019</v>
      </c>
      <c r="F71" s="21" t="s">
        <v>72</v>
      </c>
      <c r="G71" s="22">
        <v>60000000</v>
      </c>
      <c r="H71" s="23">
        <v>50000000</v>
      </c>
      <c r="I71" s="23">
        <v>60000000</v>
      </c>
      <c r="J71" s="23">
        <v>30000000</v>
      </c>
    </row>
    <row r="72" spans="5:10" ht="16.5" thickBot="1" x14ac:dyDescent="0.3">
      <c r="E72" s="12">
        <v>2019</v>
      </c>
      <c r="F72" s="21" t="s">
        <v>73</v>
      </c>
      <c r="G72" s="22">
        <v>190000000</v>
      </c>
      <c r="H72" s="23">
        <v>150000000</v>
      </c>
      <c r="I72" s="23">
        <v>200000000</v>
      </c>
      <c r="J72" s="23">
        <v>50000000</v>
      </c>
    </row>
    <row r="73" spans="5:10" ht="16.5" thickBot="1" x14ac:dyDescent="0.3">
      <c r="E73" s="12">
        <v>2020</v>
      </c>
      <c r="F73" s="21" t="s">
        <v>70</v>
      </c>
      <c r="G73" s="22">
        <v>400000000</v>
      </c>
      <c r="H73" s="23">
        <v>300000000</v>
      </c>
      <c r="I73" s="23">
        <v>250000000</v>
      </c>
      <c r="J73" s="23">
        <v>150000000</v>
      </c>
    </row>
    <row r="74" spans="5:10" ht="16.5" thickBot="1" x14ac:dyDescent="0.3">
      <c r="E74" s="12">
        <v>2020</v>
      </c>
      <c r="F74" s="21" t="s">
        <v>71</v>
      </c>
      <c r="G74" s="22">
        <v>300000000</v>
      </c>
      <c r="H74" s="23">
        <v>300000000</v>
      </c>
      <c r="I74" s="23">
        <v>500000000</v>
      </c>
      <c r="J74" s="23">
        <v>120000000</v>
      </c>
    </row>
    <row r="75" spans="5:10" ht="16.5" thickBot="1" x14ac:dyDescent="0.3">
      <c r="E75" s="12">
        <v>2020</v>
      </c>
      <c r="F75" s="21" t="s">
        <v>72</v>
      </c>
      <c r="G75" s="22">
        <v>80000000</v>
      </c>
      <c r="H75" s="23">
        <v>60000000</v>
      </c>
      <c r="I75" s="23">
        <v>100000000</v>
      </c>
      <c r="J75" s="23">
        <v>40000000</v>
      </c>
    </row>
    <row r="76" spans="5:10" ht="16.5" thickBot="1" x14ac:dyDescent="0.3">
      <c r="E76" s="12">
        <v>2020</v>
      </c>
      <c r="F76" s="21" t="s">
        <v>73</v>
      </c>
      <c r="G76" s="22">
        <v>220000000</v>
      </c>
      <c r="H76" s="23">
        <v>240000000</v>
      </c>
      <c r="I76" s="23">
        <v>350000000</v>
      </c>
      <c r="J76" s="23">
        <v>80000000</v>
      </c>
    </row>
    <row r="77" spans="5:10" ht="16.5" thickBot="1" x14ac:dyDescent="0.3">
      <c r="E77" s="12">
        <v>2021</v>
      </c>
      <c r="F77" s="21" t="s">
        <v>70</v>
      </c>
      <c r="G77" s="22">
        <v>500000000</v>
      </c>
      <c r="H77" s="23">
        <v>400000000</v>
      </c>
      <c r="I77" s="23">
        <v>300000000</v>
      </c>
      <c r="J77" s="23">
        <v>200000000</v>
      </c>
    </row>
    <row r="78" spans="5:10" ht="16.5" thickBot="1" x14ac:dyDescent="0.3">
      <c r="E78" s="12">
        <v>2021</v>
      </c>
      <c r="F78" s="21" t="s">
        <v>71</v>
      </c>
      <c r="G78" s="22">
        <v>350000000</v>
      </c>
      <c r="H78" s="23">
        <v>400000000</v>
      </c>
      <c r="I78" s="23">
        <v>600000000</v>
      </c>
      <c r="J78" s="23">
        <v>150000000</v>
      </c>
    </row>
    <row r="79" spans="5:10" ht="16.5" thickBot="1" x14ac:dyDescent="0.3">
      <c r="E79" s="12">
        <v>2021</v>
      </c>
      <c r="F79" s="21" t="s">
        <v>72</v>
      </c>
      <c r="G79" s="22">
        <v>100000000</v>
      </c>
      <c r="H79" s="23">
        <v>80000000</v>
      </c>
      <c r="I79" s="23">
        <v>120000000</v>
      </c>
      <c r="J79" s="23">
        <v>60000000</v>
      </c>
    </row>
    <row r="80" spans="5:10" ht="16.5" thickBot="1" x14ac:dyDescent="0.3">
      <c r="E80" s="12">
        <v>2021</v>
      </c>
      <c r="F80" s="21" t="s">
        <v>73</v>
      </c>
      <c r="G80" s="22">
        <v>250000000</v>
      </c>
      <c r="H80" s="23">
        <v>320000000</v>
      </c>
      <c r="I80" s="23">
        <v>450000000</v>
      </c>
      <c r="J80" s="23">
        <v>100000000</v>
      </c>
    </row>
    <row r="81" spans="5:10" ht="16.5" thickBot="1" x14ac:dyDescent="0.3">
      <c r="E81" s="12">
        <v>2022</v>
      </c>
      <c r="F81" s="21" t="s">
        <v>70</v>
      </c>
      <c r="G81" s="22">
        <v>600000000</v>
      </c>
      <c r="H81" s="23">
        <v>450000000</v>
      </c>
      <c r="I81" s="23">
        <v>350000000</v>
      </c>
      <c r="J81" s="23">
        <v>250000000</v>
      </c>
    </row>
    <row r="82" spans="5:10" ht="16.5" thickBot="1" x14ac:dyDescent="0.3">
      <c r="E82" s="12">
        <v>2022</v>
      </c>
      <c r="F82" s="21" t="s">
        <v>71</v>
      </c>
      <c r="G82" s="22">
        <v>400000000</v>
      </c>
      <c r="H82" s="23">
        <v>450000000</v>
      </c>
      <c r="I82" s="23">
        <v>700000000</v>
      </c>
      <c r="J82" s="23">
        <v>200000000</v>
      </c>
    </row>
    <row r="83" spans="5:10" ht="16.5" thickBot="1" x14ac:dyDescent="0.3">
      <c r="E83" s="12">
        <v>2022</v>
      </c>
      <c r="F83" s="21" t="s">
        <v>72</v>
      </c>
      <c r="G83" s="22">
        <v>120000000</v>
      </c>
      <c r="H83" s="23">
        <v>90000000</v>
      </c>
      <c r="I83" s="23">
        <v>140000000</v>
      </c>
      <c r="J83" s="23">
        <v>80000000</v>
      </c>
    </row>
    <row r="84" spans="5:10" ht="16.5" thickBot="1" x14ac:dyDescent="0.3">
      <c r="E84" s="12">
        <v>2022</v>
      </c>
      <c r="F84" s="21" t="s">
        <v>73</v>
      </c>
      <c r="G84" s="22">
        <v>280000000</v>
      </c>
      <c r="H84" s="23">
        <v>350000000</v>
      </c>
      <c r="I84" s="23">
        <v>550000000</v>
      </c>
      <c r="J84" s="23">
        <v>120000000</v>
      </c>
    </row>
    <row r="85" spans="5:10" ht="16.5" thickBot="1" x14ac:dyDescent="0.3">
      <c r="E85" s="12">
        <v>2023</v>
      </c>
      <c r="F85" s="21" t="s">
        <v>70</v>
      </c>
      <c r="G85" s="22">
        <v>700000000</v>
      </c>
      <c r="H85" s="23">
        <v>500000000</v>
      </c>
      <c r="I85" s="23">
        <v>400000000</v>
      </c>
      <c r="J85" s="23">
        <v>350000000</v>
      </c>
    </row>
    <row r="86" spans="5:10" ht="16.5" thickBot="1" x14ac:dyDescent="0.3">
      <c r="E86" s="12">
        <v>2023</v>
      </c>
      <c r="F86" s="21" t="s">
        <v>71</v>
      </c>
      <c r="G86" s="22">
        <v>450000000</v>
      </c>
      <c r="H86" s="23">
        <v>500000000</v>
      </c>
      <c r="I86" s="23">
        <v>800000000</v>
      </c>
      <c r="J86" s="23">
        <v>250000000</v>
      </c>
    </row>
    <row r="87" spans="5:10" ht="16.5" thickBot="1" x14ac:dyDescent="0.3">
      <c r="E87" s="12">
        <v>2023</v>
      </c>
      <c r="F87" s="21" t="s">
        <v>72</v>
      </c>
      <c r="G87" s="22">
        <v>140000000</v>
      </c>
      <c r="H87" s="23">
        <v>100000000</v>
      </c>
      <c r="I87" s="23">
        <v>160000000</v>
      </c>
      <c r="J87" s="23">
        <v>100000000</v>
      </c>
    </row>
    <row r="88" spans="5:10" ht="16.5" thickBot="1" x14ac:dyDescent="0.3">
      <c r="E88" s="12">
        <v>2023</v>
      </c>
      <c r="F88" s="21" t="s">
        <v>73</v>
      </c>
      <c r="G88" s="22">
        <v>310000000</v>
      </c>
      <c r="H88" s="24">
        <v>400000000</v>
      </c>
      <c r="I88" s="24">
        <v>600000000</v>
      </c>
      <c r="J88" s="24">
        <v>200000000</v>
      </c>
    </row>
    <row r="89" spans="5:10" ht="15.75" thickBot="1" x14ac:dyDescent="0.3"/>
    <row r="90" spans="5:10" ht="24.75" customHeight="1" thickTop="1" thickBot="1" x14ac:dyDescent="0.45">
      <c r="E90" s="26" t="s">
        <v>12</v>
      </c>
      <c r="F90" s="27" t="s">
        <v>70</v>
      </c>
      <c r="G90" s="27" t="s">
        <v>77</v>
      </c>
      <c r="H90" s="27" t="s">
        <v>72</v>
      </c>
      <c r="I90" s="27" t="s">
        <v>73</v>
      </c>
      <c r="J90" s="28" t="s">
        <v>78</v>
      </c>
    </row>
    <row r="91" spans="5:10" ht="16.5" thickTop="1" thickBot="1" x14ac:dyDescent="0.3">
      <c r="E91" s="29">
        <v>2016</v>
      </c>
      <c r="F91" s="30">
        <v>450000000</v>
      </c>
      <c r="G91" s="30">
        <v>280000000</v>
      </c>
      <c r="H91" s="30">
        <v>50000000</v>
      </c>
      <c r="I91" s="30">
        <v>350000000</v>
      </c>
      <c r="J91" s="31">
        <v>1130000000</v>
      </c>
    </row>
    <row r="92" spans="5:10" ht="16.5" thickTop="1" thickBot="1" x14ac:dyDescent="0.3">
      <c r="E92" s="29">
        <v>2017</v>
      </c>
      <c r="F92" s="30">
        <v>650000000</v>
      </c>
      <c r="G92" s="30">
        <v>380000000</v>
      </c>
      <c r="H92" s="30">
        <v>70000000</v>
      </c>
      <c r="I92" s="30">
        <v>470000000</v>
      </c>
      <c r="J92" s="31">
        <v>1570000000</v>
      </c>
    </row>
    <row r="93" spans="5:10" ht="16.5" thickTop="1" thickBot="1" x14ac:dyDescent="0.3">
      <c r="E93" s="29">
        <v>2018</v>
      </c>
      <c r="F93" s="30">
        <v>750000000</v>
      </c>
      <c r="G93" s="30">
        <v>450000000</v>
      </c>
      <c r="H93" s="30">
        <v>100000000</v>
      </c>
      <c r="I93" s="30">
        <v>680000000</v>
      </c>
      <c r="J93" s="31">
        <v>1980000000</v>
      </c>
    </row>
    <row r="94" spans="5:10" ht="16.5" thickTop="1" thickBot="1" x14ac:dyDescent="0.3">
      <c r="E94" s="29">
        <v>2019</v>
      </c>
      <c r="F94" s="30">
        <v>1100000000</v>
      </c>
      <c r="G94" s="30">
        <v>600000000</v>
      </c>
      <c r="H94" s="30">
        <v>120000000</v>
      </c>
      <c r="I94" s="30">
        <v>770000000</v>
      </c>
      <c r="J94" s="31">
        <v>2590000000</v>
      </c>
    </row>
    <row r="95" spans="5:10" ht="16.5" thickTop="1" thickBot="1" x14ac:dyDescent="0.3">
      <c r="E95" s="29">
        <v>2020</v>
      </c>
      <c r="F95" s="30">
        <v>1300000000</v>
      </c>
      <c r="G95" s="30">
        <v>800000000</v>
      </c>
      <c r="H95" s="30">
        <v>200000000</v>
      </c>
      <c r="I95" s="30">
        <v>690000000</v>
      </c>
      <c r="J95" s="31">
        <v>2990000000</v>
      </c>
    </row>
    <row r="96" spans="5:10" ht="16.5" thickTop="1" thickBot="1" x14ac:dyDescent="0.3">
      <c r="E96" s="29">
        <v>2021</v>
      </c>
      <c r="F96" s="30">
        <v>1550000000</v>
      </c>
      <c r="G96" s="30">
        <v>1000000000</v>
      </c>
      <c r="H96" s="30">
        <v>250000000</v>
      </c>
      <c r="I96" s="30">
        <v>1070000000</v>
      </c>
      <c r="J96" s="31">
        <v>3870000000</v>
      </c>
    </row>
    <row r="97" spans="5:10" ht="16.5" thickTop="1" thickBot="1" x14ac:dyDescent="0.3">
      <c r="E97" s="29">
        <v>2022</v>
      </c>
      <c r="F97" s="30">
        <v>1850000000</v>
      </c>
      <c r="G97" s="30">
        <v>1200000000</v>
      </c>
      <c r="H97" s="30">
        <v>350000000</v>
      </c>
      <c r="I97" s="30">
        <v>1120000000</v>
      </c>
      <c r="J97" s="31">
        <v>4520000000</v>
      </c>
    </row>
    <row r="98" spans="5:10" ht="16.5" thickTop="1" thickBot="1" x14ac:dyDescent="0.3">
      <c r="E98" s="29">
        <v>2023</v>
      </c>
      <c r="F98" s="30">
        <v>2200000000</v>
      </c>
      <c r="G98" s="30">
        <v>1500000000</v>
      </c>
      <c r="H98" s="30">
        <v>450000000</v>
      </c>
      <c r="I98" s="30">
        <v>1470000000</v>
      </c>
      <c r="J98" s="31">
        <v>5620000000</v>
      </c>
    </row>
    <row r="99" spans="5:10" ht="16.5" thickTop="1" thickBot="1" x14ac:dyDescent="0.3"/>
    <row r="100" spans="5:10" ht="15.75" thickBot="1" x14ac:dyDescent="0.3">
      <c r="E100" s="32" t="s">
        <v>12</v>
      </c>
      <c r="F100" s="38" t="s">
        <v>79</v>
      </c>
      <c r="G100" s="40" t="s">
        <v>80</v>
      </c>
      <c r="H100" s="41" t="s">
        <v>81</v>
      </c>
      <c r="I100" s="43" t="s">
        <v>82</v>
      </c>
      <c r="J100" s="32" t="s">
        <v>78</v>
      </c>
    </row>
    <row r="101" spans="5:10" ht="15.75" thickBot="1" x14ac:dyDescent="0.3">
      <c r="E101" s="33">
        <v>2016</v>
      </c>
      <c r="F101" s="34">
        <v>380000000</v>
      </c>
      <c r="G101" s="34">
        <v>150000000</v>
      </c>
      <c r="H101" s="34">
        <v>250000000</v>
      </c>
      <c r="I101" s="34">
        <v>100000000</v>
      </c>
      <c r="J101" s="34">
        <v>1130000000</v>
      </c>
    </row>
    <row r="102" spans="5:10" ht="15.75" thickBot="1" x14ac:dyDescent="0.3">
      <c r="E102" s="33">
        <v>2017</v>
      </c>
      <c r="F102" s="34">
        <v>500000000</v>
      </c>
      <c r="G102" s="34">
        <v>400000000</v>
      </c>
      <c r="H102" s="34">
        <v>350000000</v>
      </c>
      <c r="I102" s="34">
        <v>320000000</v>
      </c>
      <c r="J102" s="34">
        <v>1570000000</v>
      </c>
    </row>
    <row r="103" spans="5:10" ht="15.75" thickBot="1" x14ac:dyDescent="0.3">
      <c r="E103" s="33">
        <v>2018</v>
      </c>
      <c r="F103" s="34">
        <v>600000000</v>
      </c>
      <c r="G103" s="34">
        <v>550000000</v>
      </c>
      <c r="H103" s="34">
        <v>450000000</v>
      </c>
      <c r="I103" s="34">
        <v>380000000</v>
      </c>
      <c r="J103" s="34">
        <v>1980000000</v>
      </c>
    </row>
    <row r="104" spans="5:10" ht="15.75" thickBot="1" x14ac:dyDescent="0.3">
      <c r="E104" s="33">
        <v>2019</v>
      </c>
      <c r="F104" s="34">
        <v>800000000</v>
      </c>
      <c r="G104" s="34">
        <v>1000000000</v>
      </c>
      <c r="H104" s="34">
        <v>550000000</v>
      </c>
      <c r="I104" s="34">
        <v>500000000</v>
      </c>
      <c r="J104" s="34">
        <v>2590000000</v>
      </c>
    </row>
    <row r="105" spans="5:10" ht="15.75" thickBot="1" x14ac:dyDescent="0.3">
      <c r="E105" s="33">
        <v>2020</v>
      </c>
      <c r="F105" s="34">
        <v>1000000000</v>
      </c>
      <c r="G105" s="34">
        <v>1200000000</v>
      </c>
      <c r="H105" s="34">
        <v>600000000</v>
      </c>
      <c r="I105" s="34">
        <v>800000000</v>
      </c>
      <c r="J105" s="34">
        <v>2990000000</v>
      </c>
    </row>
    <row r="106" spans="5:10" ht="15.75" thickBot="1" x14ac:dyDescent="0.3">
      <c r="E106" s="33">
        <v>2021</v>
      </c>
      <c r="F106" s="34">
        <v>1200000000</v>
      </c>
      <c r="G106" s="34">
        <v>1600000000</v>
      </c>
      <c r="H106" s="34">
        <v>800000000</v>
      </c>
      <c r="I106" s="34">
        <v>1200000000</v>
      </c>
      <c r="J106" s="34">
        <v>3870000000</v>
      </c>
    </row>
    <row r="107" spans="5:10" ht="15.75" thickBot="1" x14ac:dyDescent="0.3">
      <c r="E107" s="33">
        <v>2022</v>
      </c>
      <c r="F107" s="34">
        <v>1400000000</v>
      </c>
      <c r="G107" s="34">
        <v>1800000000</v>
      </c>
      <c r="H107" s="34">
        <v>900000000</v>
      </c>
      <c r="I107" s="34">
        <v>1420000000</v>
      </c>
      <c r="J107" s="34">
        <v>4520000000</v>
      </c>
    </row>
    <row r="108" spans="5:10" ht="15.75" thickBot="1" x14ac:dyDescent="0.3">
      <c r="E108" s="33">
        <v>2023</v>
      </c>
      <c r="F108" s="34">
        <v>1700000000</v>
      </c>
      <c r="G108" s="34">
        <v>2000000000</v>
      </c>
      <c r="H108" s="34">
        <v>1000000000</v>
      </c>
      <c r="I108" s="34">
        <v>1920000000</v>
      </c>
      <c r="J108" s="34">
        <v>5620000000</v>
      </c>
    </row>
    <row r="109" spans="5:10" ht="23.25" customHeight="1" x14ac:dyDescent="0.25">
      <c r="E109" s="37" t="s">
        <v>11</v>
      </c>
      <c r="F109" s="36">
        <f>SUM(F101:F108)</f>
        <v>7580000000</v>
      </c>
      <c r="G109" s="39">
        <f>SUM(G101:G108)</f>
        <v>8700000000</v>
      </c>
      <c r="H109" s="42">
        <f>SUM(H101:H108)</f>
        <v>4900000000</v>
      </c>
      <c r="I109" s="44">
        <f>SUM(I101:I108)</f>
        <v>6640000000</v>
      </c>
      <c r="J109" s="45">
        <f>SUM(J101:J108)</f>
        <v>24270000000</v>
      </c>
    </row>
    <row r="110" spans="5:10" x14ac:dyDescent="0.25">
      <c r="J110" s="35"/>
    </row>
    <row r="111" spans="5:10" ht="15.75" thickBot="1" x14ac:dyDescent="0.3"/>
    <row r="112" spans="5:10" ht="20.25" thickTop="1" thickBot="1" x14ac:dyDescent="0.45">
      <c r="E112" s="90" t="s">
        <v>12</v>
      </c>
      <c r="F112" s="90" t="s">
        <v>136</v>
      </c>
    </row>
    <row r="113" spans="1:6" ht="20.25" thickTop="1" thickBot="1" x14ac:dyDescent="0.45">
      <c r="A113" s="3" t="s">
        <v>149</v>
      </c>
      <c r="E113" s="79">
        <v>2016</v>
      </c>
      <c r="F113" s="85">
        <v>17782</v>
      </c>
    </row>
    <row r="114" spans="1:6" ht="18" thickTop="1" thickBot="1" x14ac:dyDescent="0.3">
      <c r="E114" s="79">
        <v>2017</v>
      </c>
      <c r="F114" s="85">
        <v>37543</v>
      </c>
    </row>
    <row r="115" spans="1:6" ht="18" thickTop="1" thickBot="1" x14ac:dyDescent="0.3">
      <c r="E115" s="79">
        <v>2018</v>
      </c>
      <c r="F115" s="85">
        <v>48817</v>
      </c>
    </row>
    <row r="116" spans="1:6" ht="18" thickTop="1" thickBot="1" x14ac:dyDescent="0.3">
      <c r="E116" s="79">
        <v>2019</v>
      </c>
      <c r="F116" s="85">
        <v>48016</v>
      </c>
    </row>
    <row r="117" spans="1:6" ht="18" thickTop="1" thickBot="1" x14ac:dyDescent="0.3">
      <c r="E117" s="79">
        <v>2020</v>
      </c>
      <c r="F117" s="85">
        <v>70757</v>
      </c>
    </row>
    <row r="118" spans="1:6" ht="18" thickTop="1" thickBot="1" x14ac:dyDescent="0.3">
      <c r="E118" s="79">
        <v>2021</v>
      </c>
      <c r="F118" s="85">
        <v>99290</v>
      </c>
    </row>
    <row r="119" spans="1:6" ht="18" thickTop="1" thickBot="1" x14ac:dyDescent="0.3">
      <c r="E119" s="79">
        <v>2022</v>
      </c>
      <c r="F119" s="85">
        <v>127855</v>
      </c>
    </row>
    <row r="120" spans="1:6" ht="18" thickTop="1" thickBot="1" x14ac:dyDescent="0.3">
      <c r="E120" s="79">
        <v>2023</v>
      </c>
      <c r="F120" s="85">
        <v>140473</v>
      </c>
    </row>
    <row r="121" spans="1:6" ht="19.5" thickTop="1" x14ac:dyDescent="0.3">
      <c r="E121" s="81" t="s">
        <v>11</v>
      </c>
      <c r="F121" s="82">
        <f ca="1">SUM(F113:F121)</f>
        <v>590533</v>
      </c>
    </row>
    <row r="123" spans="1:6" ht="15.75" thickBot="1" x14ac:dyDescent="0.3"/>
    <row r="124" spans="1:6" ht="20.25" thickTop="1" thickBot="1" x14ac:dyDescent="0.45">
      <c r="E124" s="91" t="s">
        <v>146</v>
      </c>
      <c r="F124" s="91" t="s">
        <v>147</v>
      </c>
    </row>
    <row r="125" spans="1:6" ht="20.25" thickTop="1" thickBot="1" x14ac:dyDescent="0.45">
      <c r="A125" s="92" t="s">
        <v>148</v>
      </c>
      <c r="E125" s="86">
        <v>42370</v>
      </c>
      <c r="F125" s="87">
        <v>553</v>
      </c>
    </row>
    <row r="126" spans="1:6" ht="18.75" thickTop="1" thickBot="1" x14ac:dyDescent="0.35">
      <c r="E126" s="86">
        <v>42552</v>
      </c>
      <c r="F126" s="88">
        <v>640</v>
      </c>
    </row>
    <row r="127" spans="1:6" ht="18" thickTop="1" thickBot="1" x14ac:dyDescent="0.3">
      <c r="E127" s="89">
        <v>42736</v>
      </c>
      <c r="F127" s="88">
        <v>767</v>
      </c>
    </row>
    <row r="128" spans="1:6" ht="18" thickTop="1" thickBot="1" x14ac:dyDescent="0.3">
      <c r="E128" s="89">
        <v>42917</v>
      </c>
      <c r="F128" s="88">
        <v>889</v>
      </c>
    </row>
    <row r="129" spans="5:7" ht="18" thickTop="1" thickBot="1" x14ac:dyDescent="0.3">
      <c r="E129" s="89">
        <v>43101</v>
      </c>
      <c r="F129" s="88">
        <v>1133</v>
      </c>
    </row>
    <row r="130" spans="5:7" ht="18" thickTop="1" thickBot="1" x14ac:dyDescent="0.3">
      <c r="E130" s="89">
        <v>43282</v>
      </c>
      <c r="F130" s="88">
        <v>1314</v>
      </c>
    </row>
    <row r="131" spans="5:7" ht="18" thickTop="1" thickBot="1" x14ac:dyDescent="0.3">
      <c r="E131" s="89">
        <v>43466</v>
      </c>
      <c r="F131" s="88">
        <v>1433</v>
      </c>
    </row>
    <row r="132" spans="5:7" ht="18" thickTop="1" thickBot="1" x14ac:dyDescent="0.3">
      <c r="E132" s="89">
        <v>43647</v>
      </c>
      <c r="F132" s="88">
        <v>1594</v>
      </c>
    </row>
    <row r="133" spans="5:7" ht="18" thickTop="1" thickBot="1" x14ac:dyDescent="0.3">
      <c r="E133" s="89">
        <v>43831</v>
      </c>
      <c r="F133" s="88">
        <v>1770</v>
      </c>
    </row>
    <row r="134" spans="5:7" ht="18" thickTop="1" thickBot="1" x14ac:dyDescent="0.3">
      <c r="E134" s="89">
        <v>44013</v>
      </c>
      <c r="F134" s="88">
        <v>1915</v>
      </c>
    </row>
    <row r="135" spans="5:7" ht="18" thickTop="1" thickBot="1" x14ac:dyDescent="0.3">
      <c r="E135" s="89">
        <v>44197</v>
      </c>
      <c r="F135" s="88">
        <v>2613</v>
      </c>
    </row>
    <row r="136" spans="5:7" ht="18" thickTop="1" thickBot="1" x14ac:dyDescent="0.3">
      <c r="E136" s="89">
        <v>44378</v>
      </c>
      <c r="F136" s="88">
        <v>2966</v>
      </c>
    </row>
    <row r="137" spans="5:7" ht="18" thickTop="1" thickBot="1" x14ac:dyDescent="0.3">
      <c r="E137" s="89">
        <v>44531</v>
      </c>
      <c r="F137" s="88">
        <v>3070</v>
      </c>
    </row>
    <row r="138" spans="5:7" ht="18" thickTop="1" thickBot="1" x14ac:dyDescent="0.3">
      <c r="E138" s="89">
        <v>44621</v>
      </c>
      <c r="F138" s="88">
        <v>3251</v>
      </c>
    </row>
    <row r="139" spans="5:7" ht="18" thickTop="1" thickBot="1" x14ac:dyDescent="0.3">
      <c r="E139" s="89">
        <v>44896</v>
      </c>
      <c r="F139" s="88">
        <v>4620</v>
      </c>
    </row>
    <row r="140" spans="5:7" ht="18" thickTop="1" thickBot="1" x14ac:dyDescent="0.3">
      <c r="E140" s="89">
        <v>45017</v>
      </c>
      <c r="F140" s="88">
        <v>5003</v>
      </c>
    </row>
    <row r="141" spans="5:7" ht="18" thickTop="1" thickBot="1" x14ac:dyDescent="0.3">
      <c r="E141" s="89">
        <v>45261</v>
      </c>
      <c r="F141" s="88">
        <v>5878</v>
      </c>
    </row>
    <row r="142" spans="5:7" ht="18" thickTop="1" thickBot="1" x14ac:dyDescent="0.3">
      <c r="E142" s="89">
        <v>45627</v>
      </c>
      <c r="F142" s="88">
        <v>6766</v>
      </c>
    </row>
    <row r="143" spans="5:7" ht="15.75" thickTop="1" x14ac:dyDescent="0.25"/>
    <row r="144" spans="5:7" x14ac:dyDescent="0.25">
      <c r="E144" t="s">
        <v>157</v>
      </c>
      <c r="F144" t="s">
        <v>158</v>
      </c>
      <c r="G144" t="s">
        <v>159</v>
      </c>
    </row>
    <row r="145" spans="5:6" x14ac:dyDescent="0.25">
      <c r="E145" t="s">
        <v>160</v>
      </c>
      <c r="F145" t="s">
        <v>163</v>
      </c>
    </row>
    <row r="146" spans="5:6" x14ac:dyDescent="0.25">
      <c r="E146" t="s">
        <v>161</v>
      </c>
    </row>
    <row r="147" spans="5:6" x14ac:dyDescent="0.25">
      <c r="E147" t="s">
        <v>162</v>
      </c>
    </row>
  </sheetData>
  <mergeCells count="1">
    <mergeCell ref="F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B32" workbookViewId="0">
      <selection activeCell="C50" sqref="C50"/>
    </sheetView>
  </sheetViews>
  <sheetFormatPr defaultRowHeight="15" x14ac:dyDescent="0.25"/>
  <cols>
    <col min="1" max="1" width="8" bestFit="1" customWidth="1"/>
    <col min="2" max="2" width="27.140625" customWidth="1"/>
    <col min="3" max="3" width="19.7109375" bestFit="1" customWidth="1"/>
    <col min="4" max="5" width="18.85546875" customWidth="1"/>
    <col min="6" max="6" width="14.28515625" bestFit="1" customWidth="1"/>
    <col min="7" max="7" width="12.7109375" customWidth="1"/>
    <col min="8" max="8" width="57.42578125" bestFit="1" customWidth="1"/>
    <col min="9" max="9" width="14.28515625" bestFit="1" customWidth="1"/>
  </cols>
  <sheetData>
    <row r="1" spans="1:7" ht="57" thickBot="1" x14ac:dyDescent="0.45">
      <c r="A1" s="5" t="s">
        <v>1</v>
      </c>
      <c r="B1" s="6" t="s">
        <v>2</v>
      </c>
      <c r="C1" s="5" t="s">
        <v>7</v>
      </c>
      <c r="D1" s="5" t="s">
        <v>8</v>
      </c>
      <c r="E1" s="5" t="s">
        <v>9</v>
      </c>
      <c r="F1" s="5" t="s">
        <v>10</v>
      </c>
      <c r="G1" s="7" t="s">
        <v>11</v>
      </c>
    </row>
    <row r="2" spans="1:7" ht="15.75" thickBot="1" x14ac:dyDescent="0.3">
      <c r="A2" s="8">
        <v>2016</v>
      </c>
      <c r="B2" s="9" t="s">
        <v>4</v>
      </c>
      <c r="C2" s="8">
        <v>9764</v>
      </c>
      <c r="D2" s="8">
        <v>4638</v>
      </c>
      <c r="E2" s="8">
        <v>0</v>
      </c>
      <c r="F2" s="8">
        <v>0</v>
      </c>
      <c r="G2" s="10">
        <f t="shared" ref="G2:G31" si="0">SUM(C2,D2,E2,F2)</f>
        <v>14402</v>
      </c>
    </row>
    <row r="3" spans="1:7" ht="15.75" thickBot="1" x14ac:dyDescent="0.3">
      <c r="A3" s="8">
        <v>2016</v>
      </c>
      <c r="B3" s="9" t="s">
        <v>5</v>
      </c>
      <c r="C3" s="8">
        <v>16047</v>
      </c>
      <c r="D3" s="8">
        <v>8774</v>
      </c>
      <c r="E3" s="8">
        <v>0</v>
      </c>
      <c r="F3" s="8">
        <v>0</v>
      </c>
      <c r="G3" s="10">
        <f t="shared" si="0"/>
        <v>24821</v>
      </c>
    </row>
    <row r="4" spans="1:7" ht="15.75" thickBot="1" x14ac:dyDescent="0.3">
      <c r="A4" s="8">
        <v>2016</v>
      </c>
      <c r="B4" s="9" t="s">
        <v>6</v>
      </c>
      <c r="C4" s="8">
        <v>12700</v>
      </c>
      <c r="D4" s="8">
        <v>9500</v>
      </c>
      <c r="E4" s="8">
        <v>0</v>
      </c>
      <c r="F4" s="8">
        <v>0</v>
      </c>
      <c r="G4" s="10">
        <f t="shared" si="0"/>
        <v>22200</v>
      </c>
    </row>
    <row r="5" spans="1:7" ht="15.75" thickBot="1" x14ac:dyDescent="0.3">
      <c r="A5" s="8">
        <v>2017</v>
      </c>
      <c r="B5" s="9" t="s">
        <v>3</v>
      </c>
      <c r="C5" s="8">
        <v>13481</v>
      </c>
      <c r="D5" s="8">
        <v>11570</v>
      </c>
      <c r="E5" s="8">
        <v>0</v>
      </c>
      <c r="F5" s="8">
        <v>0</v>
      </c>
      <c r="G5" s="10">
        <f t="shared" si="0"/>
        <v>25051</v>
      </c>
    </row>
    <row r="6" spans="1:7" ht="15.75" thickBot="1" x14ac:dyDescent="0.3">
      <c r="A6" s="8">
        <v>2017</v>
      </c>
      <c r="B6" s="9" t="s">
        <v>4</v>
      </c>
      <c r="C6" s="8">
        <v>12010</v>
      </c>
      <c r="D6" s="8">
        <v>10010</v>
      </c>
      <c r="E6" s="8">
        <v>0</v>
      </c>
      <c r="F6" s="8">
        <v>0</v>
      </c>
      <c r="G6" s="10">
        <f t="shared" si="0"/>
        <v>22020</v>
      </c>
    </row>
    <row r="7" spans="1:7" ht="15.75" thickBot="1" x14ac:dyDescent="0.3">
      <c r="A7" s="8">
        <v>2017</v>
      </c>
      <c r="B7" s="9" t="s">
        <v>5</v>
      </c>
      <c r="C7" s="8">
        <v>14065</v>
      </c>
      <c r="D7" s="8">
        <v>11865</v>
      </c>
      <c r="E7" s="8">
        <v>220</v>
      </c>
      <c r="F7" s="8">
        <v>0</v>
      </c>
      <c r="G7" s="10">
        <f t="shared" si="0"/>
        <v>26150</v>
      </c>
    </row>
    <row r="8" spans="1:7" ht="15.75" thickBot="1" x14ac:dyDescent="0.3">
      <c r="A8" s="8">
        <v>2017</v>
      </c>
      <c r="B8" s="9" t="s">
        <v>6</v>
      </c>
      <c r="C8" s="8">
        <v>15200</v>
      </c>
      <c r="D8" s="8">
        <v>13120</v>
      </c>
      <c r="E8" s="8">
        <v>1550</v>
      </c>
      <c r="F8" s="8">
        <v>0</v>
      </c>
      <c r="G8" s="10">
        <f t="shared" si="0"/>
        <v>29870</v>
      </c>
    </row>
    <row r="9" spans="1:7" ht="15.75" thickBot="1" x14ac:dyDescent="0.3">
      <c r="A9" s="8">
        <v>2018</v>
      </c>
      <c r="B9" s="9" t="s">
        <v>3</v>
      </c>
      <c r="C9" s="8">
        <v>11730</v>
      </c>
      <c r="D9" s="8">
        <v>10070</v>
      </c>
      <c r="E9" s="8">
        <v>8180</v>
      </c>
      <c r="F9" s="8">
        <v>0</v>
      </c>
      <c r="G9" s="10">
        <f t="shared" si="0"/>
        <v>29980</v>
      </c>
    </row>
    <row r="10" spans="1:7" ht="15.75" thickBot="1" x14ac:dyDescent="0.3">
      <c r="A10" s="8">
        <v>2018</v>
      </c>
      <c r="B10" s="9" t="s">
        <v>4</v>
      </c>
      <c r="C10" s="8">
        <v>10930</v>
      </c>
      <c r="D10" s="8">
        <v>11370</v>
      </c>
      <c r="E10" s="8">
        <v>18440</v>
      </c>
      <c r="F10" s="8">
        <v>0</v>
      </c>
      <c r="G10" s="10">
        <f t="shared" si="0"/>
        <v>40740</v>
      </c>
    </row>
    <row r="11" spans="1:7" ht="15.75" thickBot="1" x14ac:dyDescent="0.3">
      <c r="A11" s="8">
        <v>2018</v>
      </c>
      <c r="B11" s="9" t="s">
        <v>5</v>
      </c>
      <c r="C11" s="8">
        <v>14470</v>
      </c>
      <c r="D11" s="8">
        <v>13190</v>
      </c>
      <c r="E11" s="8">
        <v>55840</v>
      </c>
      <c r="F11" s="8">
        <v>0</v>
      </c>
      <c r="G11" s="10">
        <f t="shared" si="0"/>
        <v>83500</v>
      </c>
    </row>
    <row r="12" spans="1:7" ht="15.75" thickBot="1" x14ac:dyDescent="0.3">
      <c r="A12" s="8">
        <v>2018</v>
      </c>
      <c r="B12" s="9" t="s">
        <v>6</v>
      </c>
      <c r="C12" s="8">
        <v>13500</v>
      </c>
      <c r="D12" s="8">
        <v>14050</v>
      </c>
      <c r="E12" s="8">
        <v>63150</v>
      </c>
      <c r="F12" s="8">
        <v>0</v>
      </c>
      <c r="G12" s="10">
        <f t="shared" si="0"/>
        <v>90700</v>
      </c>
    </row>
    <row r="13" spans="1:7" ht="15.75" thickBot="1" x14ac:dyDescent="0.3">
      <c r="A13" s="8">
        <v>2019</v>
      </c>
      <c r="B13" s="9" t="s">
        <v>3</v>
      </c>
      <c r="C13" s="8">
        <v>6000</v>
      </c>
      <c r="D13" s="8">
        <v>6100</v>
      </c>
      <c r="E13" s="8">
        <v>50900</v>
      </c>
      <c r="F13" s="8">
        <v>0</v>
      </c>
      <c r="G13" s="10">
        <f t="shared" si="0"/>
        <v>63000</v>
      </c>
    </row>
    <row r="14" spans="1:7" ht="15.75" thickBot="1" x14ac:dyDescent="0.3">
      <c r="A14" s="8">
        <v>2019</v>
      </c>
      <c r="B14" s="9" t="s">
        <v>4</v>
      </c>
      <c r="C14" s="8">
        <v>8422</v>
      </c>
      <c r="D14" s="8">
        <v>9300</v>
      </c>
      <c r="E14" s="8">
        <v>77634</v>
      </c>
      <c r="F14" s="8">
        <v>0</v>
      </c>
      <c r="G14" s="10">
        <f t="shared" si="0"/>
        <v>95356</v>
      </c>
    </row>
    <row r="15" spans="1:7" ht="15.75" thickBot="1" x14ac:dyDescent="0.3">
      <c r="A15" s="8">
        <v>2019</v>
      </c>
      <c r="B15" s="9" t="s">
        <v>5</v>
      </c>
      <c r="C15" s="8">
        <v>8383</v>
      </c>
      <c r="D15" s="8">
        <v>9100</v>
      </c>
      <c r="E15" s="8">
        <v>79703</v>
      </c>
      <c r="F15" s="8">
        <v>0</v>
      </c>
      <c r="G15" s="10">
        <f t="shared" si="0"/>
        <v>97186</v>
      </c>
    </row>
    <row r="16" spans="1:7" ht="15.75" thickBot="1" x14ac:dyDescent="0.3">
      <c r="A16" s="8">
        <v>2019</v>
      </c>
      <c r="B16" s="9" t="s">
        <v>6</v>
      </c>
      <c r="C16" s="8">
        <v>8375</v>
      </c>
      <c r="D16" s="8">
        <v>11100</v>
      </c>
      <c r="E16" s="8">
        <v>92620</v>
      </c>
      <c r="F16" s="8">
        <v>0</v>
      </c>
      <c r="G16" s="10">
        <f t="shared" si="0"/>
        <v>112095</v>
      </c>
    </row>
    <row r="17" spans="1:7" ht="15.75" thickBot="1" x14ac:dyDescent="0.3">
      <c r="A17" s="8">
        <v>2020</v>
      </c>
      <c r="B17" s="9" t="s">
        <v>3</v>
      </c>
      <c r="C17" s="8">
        <v>4525</v>
      </c>
      <c r="D17" s="8">
        <v>7705</v>
      </c>
      <c r="E17" s="8">
        <v>73975</v>
      </c>
      <c r="F17" s="8">
        <v>2291</v>
      </c>
      <c r="G17" s="10">
        <f t="shared" si="0"/>
        <v>88496</v>
      </c>
    </row>
    <row r="18" spans="1:7" ht="15.75" thickBot="1" x14ac:dyDescent="0.3">
      <c r="A18" s="8">
        <v>2020</v>
      </c>
      <c r="B18" s="9" t="s">
        <v>4</v>
      </c>
      <c r="C18" s="8">
        <v>3927</v>
      </c>
      <c r="D18" s="8">
        <v>6687</v>
      </c>
      <c r="E18" s="8">
        <v>63793</v>
      </c>
      <c r="F18" s="8">
        <v>16484</v>
      </c>
      <c r="G18" s="10">
        <f t="shared" si="0"/>
        <v>90891</v>
      </c>
    </row>
    <row r="19" spans="1:7" ht="15.75" thickBot="1" x14ac:dyDescent="0.3">
      <c r="A19" s="8">
        <v>2020</v>
      </c>
      <c r="B19" s="9" t="s">
        <v>5</v>
      </c>
      <c r="C19" s="8">
        <v>4583</v>
      </c>
      <c r="D19" s="8">
        <v>10693</v>
      </c>
      <c r="E19" s="8">
        <v>94049</v>
      </c>
      <c r="F19" s="8">
        <v>30269</v>
      </c>
      <c r="G19" s="10">
        <f t="shared" si="0"/>
        <v>139594</v>
      </c>
    </row>
    <row r="20" spans="1:7" ht="15.75" thickBot="1" x14ac:dyDescent="0.3">
      <c r="A20" s="8">
        <v>2020</v>
      </c>
      <c r="B20" s="9" t="s">
        <v>6</v>
      </c>
      <c r="C20" s="8">
        <v>6060</v>
      </c>
      <c r="D20" s="8">
        <v>12860</v>
      </c>
      <c r="E20" s="8">
        <v>126624</v>
      </c>
      <c r="F20" s="8">
        <v>35123</v>
      </c>
      <c r="G20" s="10">
        <f t="shared" si="0"/>
        <v>180667</v>
      </c>
    </row>
    <row r="21" spans="1:7" ht="15.75" thickBot="1" x14ac:dyDescent="0.3">
      <c r="A21" s="8">
        <v>2021</v>
      </c>
      <c r="B21" s="9" t="s">
        <v>3</v>
      </c>
      <c r="C21" s="8">
        <v>1010</v>
      </c>
      <c r="D21" s="8">
        <v>1010</v>
      </c>
      <c r="E21" s="8">
        <v>115077</v>
      </c>
      <c r="F21" s="8">
        <v>67780</v>
      </c>
      <c r="G21" s="10">
        <f t="shared" si="0"/>
        <v>184877</v>
      </c>
    </row>
    <row r="22" spans="1:7" ht="15.75" thickBot="1" x14ac:dyDescent="0.3">
      <c r="A22" s="8">
        <v>2021</v>
      </c>
      <c r="B22" s="9" t="s">
        <v>4</v>
      </c>
      <c r="C22" s="8">
        <v>890</v>
      </c>
      <c r="D22" s="8">
        <v>1000</v>
      </c>
      <c r="E22" s="8">
        <v>110054</v>
      </c>
      <c r="F22" s="8">
        <v>89360</v>
      </c>
      <c r="G22" s="10">
        <f t="shared" si="0"/>
        <v>201304</v>
      </c>
    </row>
    <row r="23" spans="1:7" ht="15.75" thickBot="1" x14ac:dyDescent="0.3">
      <c r="A23" s="8">
        <v>2021</v>
      </c>
      <c r="B23" s="9" t="s">
        <v>5</v>
      </c>
      <c r="C23" s="8">
        <v>9000</v>
      </c>
      <c r="D23" s="8">
        <v>275</v>
      </c>
      <c r="E23" s="8">
        <v>111225</v>
      </c>
      <c r="F23" s="8">
        <v>120800</v>
      </c>
      <c r="G23" s="10">
        <f t="shared" si="0"/>
        <v>241300</v>
      </c>
    </row>
    <row r="24" spans="1:7" ht="15.75" thickBot="1" x14ac:dyDescent="0.3">
      <c r="A24" s="8">
        <v>2021</v>
      </c>
      <c r="B24" s="9" t="s">
        <v>6</v>
      </c>
      <c r="C24" s="8">
        <v>4050</v>
      </c>
      <c r="D24" s="8">
        <v>7700</v>
      </c>
      <c r="E24" s="8">
        <v>140000</v>
      </c>
      <c r="F24" s="8">
        <v>156850</v>
      </c>
      <c r="G24" s="10">
        <f t="shared" si="0"/>
        <v>308600</v>
      </c>
    </row>
    <row r="25" spans="1:7" ht="15.75" thickBot="1" x14ac:dyDescent="0.3">
      <c r="A25" s="8">
        <v>2022</v>
      </c>
      <c r="B25" s="9" t="s">
        <v>3</v>
      </c>
      <c r="C25" s="8">
        <v>7362</v>
      </c>
      <c r="D25" s="8">
        <v>7362</v>
      </c>
      <c r="E25" s="8">
        <v>129764</v>
      </c>
      <c r="F25" s="8">
        <v>165560</v>
      </c>
      <c r="G25" s="10">
        <f t="shared" si="0"/>
        <v>310048</v>
      </c>
    </row>
    <row r="26" spans="1:7" ht="15.75" thickBot="1" x14ac:dyDescent="0.3">
      <c r="A26" s="8">
        <v>2022</v>
      </c>
      <c r="B26" s="9" t="s">
        <v>4</v>
      </c>
      <c r="C26" s="8">
        <v>8081</v>
      </c>
      <c r="D26" s="8">
        <v>8081</v>
      </c>
      <c r="E26" s="8">
        <v>100066</v>
      </c>
      <c r="F26" s="8">
        <v>138467</v>
      </c>
      <c r="G26" s="10">
        <f t="shared" si="0"/>
        <v>254695</v>
      </c>
    </row>
    <row r="27" spans="1:7" ht="15.75" thickBot="1" x14ac:dyDescent="0.3">
      <c r="A27" s="8">
        <v>2022</v>
      </c>
      <c r="B27" s="9" t="s">
        <v>5</v>
      </c>
      <c r="C27" s="8">
        <v>7469</v>
      </c>
      <c r="D27" s="8">
        <v>11203</v>
      </c>
      <c r="E27" s="8">
        <v>120308</v>
      </c>
      <c r="F27" s="8">
        <v>204850</v>
      </c>
      <c r="G27" s="10">
        <f t="shared" si="0"/>
        <v>343830</v>
      </c>
    </row>
    <row r="28" spans="1:7" ht="15.75" thickBot="1" x14ac:dyDescent="0.3">
      <c r="A28" s="8">
        <v>2022</v>
      </c>
      <c r="B28" s="9" t="s">
        <v>6</v>
      </c>
      <c r="C28" s="8">
        <v>6344</v>
      </c>
      <c r="D28" s="8">
        <v>10803</v>
      </c>
      <c r="E28" s="8">
        <v>135846</v>
      </c>
      <c r="F28" s="8">
        <v>252285</v>
      </c>
      <c r="G28" s="10">
        <f t="shared" si="0"/>
        <v>405278</v>
      </c>
    </row>
    <row r="29" spans="1:7" ht="15.75" thickBot="1" x14ac:dyDescent="0.3">
      <c r="A29" s="8">
        <v>2023</v>
      </c>
      <c r="B29" s="9" t="s">
        <v>3</v>
      </c>
      <c r="C29" s="8">
        <v>3695</v>
      </c>
      <c r="D29" s="8">
        <v>7000</v>
      </c>
      <c r="E29" s="8">
        <v>132180</v>
      </c>
      <c r="F29" s="8">
        <v>280000</v>
      </c>
      <c r="G29" s="10">
        <f t="shared" si="0"/>
        <v>422875</v>
      </c>
    </row>
    <row r="30" spans="1:7" ht="15.75" thickBot="1" x14ac:dyDescent="0.3">
      <c r="A30" s="8">
        <v>2023</v>
      </c>
      <c r="B30" s="9" t="s">
        <v>4</v>
      </c>
      <c r="C30" s="8">
        <v>6225</v>
      </c>
      <c r="D30" s="8">
        <v>13000</v>
      </c>
      <c r="E30" s="8">
        <v>146915</v>
      </c>
      <c r="F30" s="8">
        <v>300000</v>
      </c>
      <c r="G30" s="10">
        <f t="shared" si="0"/>
        <v>466140</v>
      </c>
    </row>
    <row r="31" spans="1:7" ht="15.75" thickBot="1" x14ac:dyDescent="0.3">
      <c r="A31" s="8">
        <v>2023</v>
      </c>
      <c r="B31" s="9" t="s">
        <v>5</v>
      </c>
      <c r="C31" s="8">
        <v>5985</v>
      </c>
      <c r="D31" s="8">
        <v>10000</v>
      </c>
      <c r="E31" s="8">
        <v>117074</v>
      </c>
      <c r="F31" s="8">
        <v>302000</v>
      </c>
      <c r="G31" s="10">
        <f t="shared" si="0"/>
        <v>435059</v>
      </c>
    </row>
    <row r="32" spans="1:7" x14ac:dyDescent="0.25">
      <c r="B32" s="59" t="s">
        <v>117</v>
      </c>
      <c r="C32" s="58">
        <f>SUM(C2:C31)</f>
        <v>254283</v>
      </c>
      <c r="D32" s="58">
        <f>SUM(D2:D31)</f>
        <v>269136</v>
      </c>
      <c r="E32" s="58">
        <f>SUM(E2:E31)</f>
        <v>2165187</v>
      </c>
      <c r="F32" s="58">
        <f>SUM(F2:F31)</f>
        <v>2162119</v>
      </c>
    </row>
    <row r="34" spans="1:9" x14ac:dyDescent="0.25">
      <c r="A34" s="50" t="s">
        <v>92</v>
      </c>
      <c r="B34" s="50"/>
      <c r="C34" s="48"/>
      <c r="E34" s="50" t="s">
        <v>100</v>
      </c>
      <c r="F34" s="50"/>
      <c r="G34" s="50"/>
      <c r="I34" s="53">
        <f>SUM(D2:D31)</f>
        <v>269136</v>
      </c>
    </row>
    <row r="35" spans="1:9" x14ac:dyDescent="0.25">
      <c r="A35" s="49" t="s">
        <v>84</v>
      </c>
      <c r="B35" s="49"/>
      <c r="C35" s="54">
        <f>SUM(G2:G4)</f>
        <v>61423</v>
      </c>
      <c r="E35" s="50" t="s">
        <v>101</v>
      </c>
      <c r="F35" s="50"/>
      <c r="G35" s="50"/>
      <c r="H35" s="50"/>
      <c r="I35" s="53">
        <f>SUM(C2:C31)</f>
        <v>254283</v>
      </c>
    </row>
    <row r="36" spans="1:9" x14ac:dyDescent="0.25">
      <c r="A36" s="50" t="s">
        <v>93</v>
      </c>
      <c r="C36" s="55"/>
      <c r="E36" s="50" t="s">
        <v>102</v>
      </c>
      <c r="F36" s="50"/>
      <c r="G36" s="50"/>
      <c r="I36" s="53">
        <f>SUM(E2:E31)</f>
        <v>2165187</v>
      </c>
    </row>
    <row r="37" spans="1:9" x14ac:dyDescent="0.25">
      <c r="A37" s="49" t="s">
        <v>85</v>
      </c>
      <c r="B37" s="49"/>
      <c r="C37" s="54">
        <f>SUM(G5:G8)</f>
        <v>103091</v>
      </c>
      <c r="E37" s="50" t="s">
        <v>103</v>
      </c>
      <c r="F37" s="50"/>
      <c r="G37" s="50"/>
      <c r="I37" s="53">
        <f>SUM(F2:F31)</f>
        <v>2162119</v>
      </c>
    </row>
    <row r="38" spans="1:9" x14ac:dyDescent="0.25">
      <c r="A38" s="50" t="s">
        <v>94</v>
      </c>
      <c r="C38" s="55"/>
    </row>
    <row r="39" spans="1:9" x14ac:dyDescent="0.25">
      <c r="A39" s="49" t="s">
        <v>86</v>
      </c>
      <c r="B39" s="49"/>
      <c r="C39" s="54">
        <f>SUM(G9:G12)</f>
        <v>244920</v>
      </c>
      <c r="E39" s="50" t="s">
        <v>104</v>
      </c>
      <c r="I39" s="53">
        <f>AVERAGE(G2:G4)</f>
        <v>20474.333333333332</v>
      </c>
    </row>
    <row r="40" spans="1:9" x14ac:dyDescent="0.25">
      <c r="A40" s="50" t="s">
        <v>95</v>
      </c>
      <c r="C40" s="55"/>
      <c r="E40" s="50" t="s">
        <v>105</v>
      </c>
      <c r="I40" s="53">
        <f>AVERAGE(G5:G8)</f>
        <v>25772.75</v>
      </c>
    </row>
    <row r="41" spans="1:9" x14ac:dyDescent="0.25">
      <c r="A41" s="49" t="s">
        <v>87</v>
      </c>
      <c r="B41" s="49"/>
      <c r="C41" s="54">
        <f>SUM(G13:G16)</f>
        <v>367637</v>
      </c>
      <c r="E41" s="50" t="s">
        <v>106</v>
      </c>
      <c r="I41" s="53">
        <f>AVERAGE(G9:G12)</f>
        <v>61230</v>
      </c>
    </row>
    <row r="42" spans="1:9" x14ac:dyDescent="0.25">
      <c r="A42" s="50" t="s">
        <v>96</v>
      </c>
      <c r="C42" s="55"/>
      <c r="E42" s="50" t="s">
        <v>107</v>
      </c>
      <c r="I42" s="53">
        <f>AVERAGE(G13:G16)</f>
        <v>91909.25</v>
      </c>
    </row>
    <row r="43" spans="1:9" x14ac:dyDescent="0.25">
      <c r="A43" s="49" t="s">
        <v>88</v>
      </c>
      <c r="B43" s="49"/>
      <c r="C43" s="54">
        <f>SUM(G17:G20)</f>
        <v>499648</v>
      </c>
      <c r="E43" s="50" t="s">
        <v>108</v>
      </c>
      <c r="I43" s="53">
        <f>AVERAGE(G17:G20)</f>
        <v>124912</v>
      </c>
    </row>
    <row r="44" spans="1:9" x14ac:dyDescent="0.25">
      <c r="A44" s="50" t="s">
        <v>97</v>
      </c>
      <c r="C44" s="55"/>
      <c r="E44" s="50" t="s">
        <v>109</v>
      </c>
      <c r="I44" s="53">
        <f>AVERAGE(G22:G24)</f>
        <v>250401.33333333334</v>
      </c>
    </row>
    <row r="45" spans="1:9" x14ac:dyDescent="0.25">
      <c r="A45" s="49" t="s">
        <v>89</v>
      </c>
      <c r="B45" s="49"/>
      <c r="C45" s="54">
        <f>SUM(G21:G24)</f>
        <v>936081</v>
      </c>
      <c r="E45" s="50" t="s">
        <v>110</v>
      </c>
      <c r="I45" s="53">
        <f>AVERAGE(G25:G27)</f>
        <v>302857.66666666669</v>
      </c>
    </row>
    <row r="46" spans="1:9" x14ac:dyDescent="0.25">
      <c r="A46" s="50" t="s">
        <v>98</v>
      </c>
      <c r="C46" s="55"/>
      <c r="E46" s="50" t="s">
        <v>111</v>
      </c>
      <c r="I46" s="53">
        <f>AVERAGE(G29:G31)</f>
        <v>441358</v>
      </c>
    </row>
    <row r="47" spans="1:9" x14ac:dyDescent="0.25">
      <c r="A47" s="49" t="s">
        <v>90</v>
      </c>
      <c r="B47" s="49"/>
      <c r="C47" s="54">
        <f>SUM(G25:G28)</f>
        <v>1313851</v>
      </c>
      <c r="E47" s="50" t="s">
        <v>112</v>
      </c>
      <c r="I47">
        <f>COUNTIF(C2:F31,"&gt;30000")</f>
        <v>34</v>
      </c>
    </row>
    <row r="48" spans="1:9" x14ac:dyDescent="0.25">
      <c r="A48" s="50" t="s">
        <v>99</v>
      </c>
      <c r="C48" s="55"/>
      <c r="E48" s="50" t="s">
        <v>115</v>
      </c>
      <c r="I48" s="46">
        <f>MAX(C2:C31)</f>
        <v>16047</v>
      </c>
    </row>
    <row r="49" spans="1:9" ht="15.75" thickBot="1" x14ac:dyDescent="0.3">
      <c r="A49" s="49" t="s">
        <v>91</v>
      </c>
      <c r="B49" s="49"/>
      <c r="C49" s="54">
        <f>SUM(G29:G31)</f>
        <v>1324074</v>
      </c>
      <c r="E49" s="50" t="s">
        <v>118</v>
      </c>
      <c r="I49" s="60">
        <f>(C35/C49)</f>
        <v>4.6389401196609857E-2</v>
      </c>
    </row>
    <row r="50" spans="1:9" ht="19.5" thickBot="1" x14ac:dyDescent="0.35">
      <c r="A50" s="51" t="s">
        <v>83</v>
      </c>
      <c r="B50" s="52"/>
      <c r="C50" s="56">
        <f>SUM(C35,C37,C39,C41,C43,C45,C47,C49)</f>
        <v>4850725</v>
      </c>
    </row>
    <row r="51" spans="1:9" ht="15.75" thickBot="1" x14ac:dyDescent="0.3"/>
    <row r="52" spans="1:9" ht="37.5" x14ac:dyDescent="0.4">
      <c r="A52" s="5" t="s">
        <v>1</v>
      </c>
      <c r="B52" s="6" t="s">
        <v>2</v>
      </c>
      <c r="C52" s="5" t="s">
        <v>7</v>
      </c>
      <c r="D52" s="5" t="s">
        <v>8</v>
      </c>
      <c r="E52" s="5" t="s">
        <v>9</v>
      </c>
      <c r="F52" s="5" t="s">
        <v>10</v>
      </c>
      <c r="G52" s="7" t="s">
        <v>11</v>
      </c>
    </row>
    <row r="53" spans="1:9" x14ac:dyDescent="0.25">
      <c r="A53">
        <v>2016</v>
      </c>
      <c r="H53" t="s">
        <v>113</v>
      </c>
      <c r="I53" s="46">
        <f>DMAX(A1:G31,G52,A52:G53)</f>
        <v>24821</v>
      </c>
    </row>
    <row r="55" spans="1:9" ht="15.75" thickBot="1" x14ac:dyDescent="0.3"/>
    <row r="56" spans="1:9" ht="37.5" x14ac:dyDescent="0.4">
      <c r="A56" s="5" t="s">
        <v>1</v>
      </c>
      <c r="B56" s="6" t="s">
        <v>2</v>
      </c>
      <c r="C56" s="5" t="s">
        <v>7</v>
      </c>
      <c r="D56" s="5" t="s">
        <v>8</v>
      </c>
      <c r="E56" s="5" t="s">
        <v>9</v>
      </c>
      <c r="F56" s="5" t="s">
        <v>10</v>
      </c>
      <c r="G56" s="7" t="s">
        <v>11</v>
      </c>
    </row>
    <row r="57" spans="1:9" x14ac:dyDescent="0.25">
      <c r="B57" s="57" t="s">
        <v>4</v>
      </c>
      <c r="H57" t="s">
        <v>114</v>
      </c>
      <c r="I57" s="46">
        <f>DMIN(A1:G31,G56,A56:G57)</f>
        <v>14402</v>
      </c>
    </row>
    <row r="59" spans="1:9" ht="15.75" thickBot="1" x14ac:dyDescent="0.3"/>
    <row r="60" spans="1:9" ht="37.5" x14ac:dyDescent="0.4">
      <c r="A60" s="5" t="s">
        <v>1</v>
      </c>
      <c r="B60" s="6" t="s">
        <v>2</v>
      </c>
      <c r="C60" s="5" t="s">
        <v>7</v>
      </c>
      <c r="D60" s="5" t="s">
        <v>8</v>
      </c>
      <c r="E60" s="5" t="s">
        <v>9</v>
      </c>
      <c r="F60" s="5" t="s">
        <v>10</v>
      </c>
      <c r="G60" s="7" t="s">
        <v>11</v>
      </c>
    </row>
    <row r="61" spans="1:9" x14ac:dyDescent="0.25">
      <c r="C61">
        <v>16047</v>
      </c>
      <c r="H61" t="s">
        <v>116</v>
      </c>
      <c r="I61">
        <f>DGET(A1:G31,A60,A60:G61)</f>
        <v>2016</v>
      </c>
    </row>
    <row r="62" spans="1:9" ht="15.75" thickBot="1" x14ac:dyDescent="0.3"/>
    <row r="63" spans="1:9" ht="37.5" x14ac:dyDescent="0.4">
      <c r="A63" s="5" t="s">
        <v>1</v>
      </c>
      <c r="B63" s="6" t="s">
        <v>2</v>
      </c>
      <c r="C63" s="5" t="s">
        <v>7</v>
      </c>
      <c r="D63" s="5" t="s">
        <v>8</v>
      </c>
      <c r="E63" s="5" t="s">
        <v>9</v>
      </c>
      <c r="F63" s="5" t="s">
        <v>10</v>
      </c>
      <c r="G63" s="7" t="s">
        <v>11</v>
      </c>
    </row>
    <row r="64" spans="1:9" x14ac:dyDescent="0.25">
      <c r="A64">
        <v>2023</v>
      </c>
      <c r="D64" t="s">
        <v>126</v>
      </c>
      <c r="H64" t="s">
        <v>127</v>
      </c>
      <c r="I64" s="46">
        <f>DSUM(A1:G31,D63,A63:G64)</f>
        <v>30000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F20" sqref="F20"/>
    </sheetView>
  </sheetViews>
  <sheetFormatPr defaultRowHeight="15" x14ac:dyDescent="0.25"/>
  <cols>
    <col min="1" max="1" width="8" bestFit="1" customWidth="1"/>
    <col min="2" max="2" width="15.85546875" bestFit="1" customWidth="1"/>
    <col min="3" max="3" width="16.7109375" bestFit="1" customWidth="1"/>
    <col min="4" max="4" width="18" bestFit="1" customWidth="1"/>
    <col min="5" max="5" width="16.42578125" bestFit="1" customWidth="1"/>
    <col min="6" max="6" width="27.140625" bestFit="1" customWidth="1"/>
    <col min="7" max="7" width="23.85546875" bestFit="1" customWidth="1"/>
    <col min="8" max="8" width="17.28515625" customWidth="1"/>
    <col min="9" max="9" width="14.5703125" bestFit="1" customWidth="1"/>
  </cols>
  <sheetData>
    <row r="1" spans="1:9" ht="37.5" customHeight="1" thickTop="1" thickBot="1" x14ac:dyDescent="0.45">
      <c r="A1" s="13" t="s">
        <v>1</v>
      </c>
      <c r="B1" s="13" t="s">
        <v>59</v>
      </c>
      <c r="C1" s="13" t="s">
        <v>60</v>
      </c>
      <c r="D1" s="13" t="s">
        <v>61</v>
      </c>
      <c r="E1" s="13" t="s">
        <v>62</v>
      </c>
      <c r="F1" s="13" t="s">
        <v>63</v>
      </c>
      <c r="G1" s="62" t="s">
        <v>64</v>
      </c>
      <c r="H1" s="64" t="s">
        <v>119</v>
      </c>
      <c r="I1" s="71" t="s">
        <v>120</v>
      </c>
    </row>
    <row r="2" spans="1:9" ht="17.25" thickTop="1" thickBot="1" x14ac:dyDescent="0.3">
      <c r="A2" s="14">
        <v>2016</v>
      </c>
      <c r="B2" s="66">
        <v>120000</v>
      </c>
      <c r="C2" s="61">
        <v>110000</v>
      </c>
      <c r="D2" s="61">
        <v>125000</v>
      </c>
      <c r="E2" s="61">
        <v>55000</v>
      </c>
      <c r="F2" s="61">
        <v>60000</v>
      </c>
      <c r="G2" s="63">
        <v>200000</v>
      </c>
      <c r="H2" s="65">
        <f>IF(B2&gt;150000,5000,2500)</f>
        <v>2500</v>
      </c>
      <c r="I2" s="72">
        <f>VLOOKUP(B2,C16:D18,2,TRUE)</f>
        <v>0.03</v>
      </c>
    </row>
    <row r="3" spans="1:9" ht="17.25" thickTop="1" thickBot="1" x14ac:dyDescent="0.3">
      <c r="A3" s="14">
        <v>2017</v>
      </c>
      <c r="B3" s="66">
        <v>130000</v>
      </c>
      <c r="C3" s="61">
        <v>120000</v>
      </c>
      <c r="D3" s="61">
        <v>130000</v>
      </c>
      <c r="E3" s="61">
        <v>60000</v>
      </c>
      <c r="F3" s="61">
        <v>65000</v>
      </c>
      <c r="G3" s="63">
        <v>210000</v>
      </c>
      <c r="H3" s="65">
        <f t="shared" ref="H3:H8" si="0">IF(B3&gt;150000,5000,2500)</f>
        <v>2500</v>
      </c>
      <c r="I3" s="72">
        <f>VLOOKUP(B3,C15:D18,2,TRUE)</f>
        <v>0.03</v>
      </c>
    </row>
    <row r="4" spans="1:9" ht="17.25" thickTop="1" thickBot="1" x14ac:dyDescent="0.3">
      <c r="A4" s="14">
        <v>2018</v>
      </c>
      <c r="B4" s="66">
        <v>145000</v>
      </c>
      <c r="C4" s="61">
        <v>125000</v>
      </c>
      <c r="D4" s="61">
        <v>130000</v>
      </c>
      <c r="E4" s="61">
        <v>65000</v>
      </c>
      <c r="F4" s="61">
        <v>70000</v>
      </c>
      <c r="G4" s="63">
        <v>220000</v>
      </c>
      <c r="H4" s="65">
        <f t="shared" si="0"/>
        <v>2500</v>
      </c>
      <c r="I4" s="72">
        <f>VLOOKUP(B4,C14:D18,2,TRUE)</f>
        <v>0.05</v>
      </c>
    </row>
    <row r="5" spans="1:9" ht="17.25" thickTop="1" thickBot="1" x14ac:dyDescent="0.3">
      <c r="A5" s="14">
        <v>2019</v>
      </c>
      <c r="B5" s="66">
        <v>150000</v>
      </c>
      <c r="C5" s="61">
        <v>130000</v>
      </c>
      <c r="D5" s="61">
        <v>135000</v>
      </c>
      <c r="E5" s="61">
        <v>70000</v>
      </c>
      <c r="F5" s="61">
        <v>75000</v>
      </c>
      <c r="G5" s="63">
        <v>230000</v>
      </c>
      <c r="H5" s="65">
        <f t="shared" si="0"/>
        <v>2500</v>
      </c>
      <c r="I5" s="72">
        <f>VLOOKUP(B5,C14:D18,2,TRUE)</f>
        <v>0.05</v>
      </c>
    </row>
    <row r="6" spans="1:9" ht="17.25" thickTop="1" thickBot="1" x14ac:dyDescent="0.3">
      <c r="A6" s="14">
        <v>2020</v>
      </c>
      <c r="B6" s="66">
        <v>160000</v>
      </c>
      <c r="C6" s="61">
        <v>135000</v>
      </c>
      <c r="D6" s="61">
        <v>140000</v>
      </c>
      <c r="E6" s="61">
        <v>75000</v>
      </c>
      <c r="F6" s="61">
        <v>80000</v>
      </c>
      <c r="G6" s="63">
        <v>250000</v>
      </c>
      <c r="H6" s="65">
        <f t="shared" si="0"/>
        <v>5000</v>
      </c>
      <c r="I6" s="72">
        <f>VLOOKUP(B6,C16:D18,2,TRUE)</f>
        <v>0.05</v>
      </c>
    </row>
    <row r="7" spans="1:9" ht="17.25" thickTop="1" thickBot="1" x14ac:dyDescent="0.3">
      <c r="A7" s="14">
        <v>2021</v>
      </c>
      <c r="B7" s="66">
        <v>180000</v>
      </c>
      <c r="C7" s="61">
        <v>145000</v>
      </c>
      <c r="D7" s="61">
        <v>150000</v>
      </c>
      <c r="E7" s="61">
        <v>80000</v>
      </c>
      <c r="F7" s="61">
        <v>85000</v>
      </c>
      <c r="G7" s="63">
        <v>300000</v>
      </c>
      <c r="H7" s="65">
        <f t="shared" si="0"/>
        <v>5000</v>
      </c>
      <c r="I7" s="72">
        <f>VLOOKUP(B7,C16:D18,2,TRUE)</f>
        <v>0.05</v>
      </c>
    </row>
    <row r="8" spans="1:9" ht="17.25" thickTop="1" thickBot="1" x14ac:dyDescent="0.3">
      <c r="A8" s="14">
        <v>2022</v>
      </c>
      <c r="B8" s="66">
        <v>190000</v>
      </c>
      <c r="C8" s="61">
        <v>150000</v>
      </c>
      <c r="D8" s="61">
        <v>160000</v>
      </c>
      <c r="E8" s="61">
        <v>85000</v>
      </c>
      <c r="F8" s="61">
        <v>90000</v>
      </c>
      <c r="G8" s="63">
        <v>350000</v>
      </c>
      <c r="H8" s="65">
        <f t="shared" si="0"/>
        <v>5000</v>
      </c>
      <c r="I8" s="72">
        <f>VLOOKUP(B8,C16:D18,2,TRUE)</f>
        <v>0.05</v>
      </c>
    </row>
    <row r="9" spans="1:9" ht="17.25" thickTop="1" thickBot="1" x14ac:dyDescent="0.3">
      <c r="A9" s="14">
        <v>2023</v>
      </c>
      <c r="B9" s="66">
        <v>200000</v>
      </c>
      <c r="C9" s="61">
        <v>160000</v>
      </c>
      <c r="D9" s="61">
        <v>170000</v>
      </c>
      <c r="E9" s="61">
        <v>90000</v>
      </c>
      <c r="F9" s="61">
        <v>95000</v>
      </c>
      <c r="G9" s="63">
        <v>400000</v>
      </c>
      <c r="H9" s="65">
        <f>IF(B9&gt;150000,5000,2500)</f>
        <v>5000</v>
      </c>
      <c r="I9" s="72">
        <f>VLOOKUP(B9,C16:D18,2,TRUE)</f>
        <v>0.08</v>
      </c>
    </row>
    <row r="11" spans="1:9" x14ac:dyDescent="0.25">
      <c r="B11" s="67"/>
    </row>
    <row r="12" spans="1:9" x14ac:dyDescent="0.25">
      <c r="B12" s="68"/>
    </row>
    <row r="13" spans="1:9" x14ac:dyDescent="0.25">
      <c r="B13" s="68"/>
    </row>
    <row r="14" spans="1:9" ht="15.75" thickBot="1" x14ac:dyDescent="0.3">
      <c r="B14" s="68"/>
      <c r="C14" s="69" t="s">
        <v>125</v>
      </c>
    </row>
    <row r="15" spans="1:9" ht="16.5" thickTop="1" thickBot="1" x14ac:dyDescent="0.3">
      <c r="C15" s="73" t="s">
        <v>121</v>
      </c>
      <c r="D15" s="73" t="s">
        <v>120</v>
      </c>
      <c r="F15" t="s">
        <v>122</v>
      </c>
    </row>
    <row r="16" spans="1:9" ht="16.5" thickTop="1" thickBot="1" x14ac:dyDescent="0.3">
      <c r="C16" s="74">
        <v>0</v>
      </c>
      <c r="D16" s="75">
        <v>0.03</v>
      </c>
      <c r="F16" s="47">
        <f>COUNTIF(B2:G9,"&gt;150000")</f>
        <v>15</v>
      </c>
    </row>
    <row r="17" spans="3:6" ht="16.5" thickTop="1" thickBot="1" x14ac:dyDescent="0.3">
      <c r="C17" s="76">
        <v>140000</v>
      </c>
      <c r="D17" s="75">
        <v>0.05</v>
      </c>
      <c r="F17" t="s">
        <v>123</v>
      </c>
    </row>
    <row r="18" spans="3:6" ht="16.5" thickTop="1" thickBot="1" x14ac:dyDescent="0.3">
      <c r="C18" s="76">
        <v>200000</v>
      </c>
      <c r="D18" s="75">
        <v>0.08</v>
      </c>
      <c r="F18" s="70">
        <f>AVERAGE(B2:G9)</f>
        <v>142708.33333333334</v>
      </c>
    </row>
    <row r="19" spans="3:6" ht="15.75" thickTop="1" x14ac:dyDescent="0.25">
      <c r="F19" t="s">
        <v>124</v>
      </c>
    </row>
    <row r="20" spans="3:6" x14ac:dyDescent="0.25">
      <c r="F20" s="70">
        <f>AVERAGEIF(B2:G9,"&gt;190000")</f>
        <v>262222.22222222225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7" workbookViewId="0">
      <selection activeCell="C20" sqref="C20"/>
    </sheetView>
  </sheetViews>
  <sheetFormatPr defaultRowHeight="15" x14ac:dyDescent="0.25"/>
  <cols>
    <col min="1" max="1" width="12.5703125" bestFit="1" customWidth="1"/>
    <col min="2" max="2" width="27.28515625" customWidth="1"/>
    <col min="3" max="3" width="13.7109375" customWidth="1"/>
    <col min="4" max="4" width="11.5703125" customWidth="1"/>
    <col min="5" max="5" width="45.7109375" customWidth="1"/>
    <col min="7" max="7" width="11.5703125" bestFit="1" customWidth="1"/>
  </cols>
  <sheetData>
    <row r="1" spans="1:11" ht="19.5" thickBot="1" x14ac:dyDescent="0.45">
      <c r="A1" s="16" t="s">
        <v>69</v>
      </c>
      <c r="B1" s="17" t="s">
        <v>65</v>
      </c>
      <c r="C1" s="17" t="s">
        <v>66</v>
      </c>
      <c r="D1" s="17" t="s">
        <v>67</v>
      </c>
      <c r="E1" s="17" t="s">
        <v>68</v>
      </c>
    </row>
    <row r="2" spans="1:11" ht="15.75" thickBot="1" x14ac:dyDescent="0.3">
      <c r="A2" s="11">
        <v>2016</v>
      </c>
      <c r="B2" s="18">
        <v>85000</v>
      </c>
      <c r="C2" s="18">
        <v>90000</v>
      </c>
      <c r="D2" s="18">
        <v>45000</v>
      </c>
      <c r="E2" s="11">
        <v>0</v>
      </c>
    </row>
    <row r="3" spans="1:11" ht="15.75" thickBot="1" x14ac:dyDescent="0.3">
      <c r="A3" s="11">
        <v>2017</v>
      </c>
      <c r="B3" s="18">
        <v>85000</v>
      </c>
      <c r="C3" s="18">
        <v>90000</v>
      </c>
      <c r="D3" s="18">
        <v>45000</v>
      </c>
      <c r="E3" s="11">
        <v>0</v>
      </c>
    </row>
    <row r="4" spans="1:11" ht="15.75" thickBot="1" x14ac:dyDescent="0.3">
      <c r="A4" s="11">
        <v>2018</v>
      </c>
      <c r="B4" s="18">
        <v>75000</v>
      </c>
      <c r="C4" s="18">
        <v>80000</v>
      </c>
      <c r="D4" s="18">
        <v>40000</v>
      </c>
      <c r="E4" s="11">
        <v>0</v>
      </c>
    </row>
    <row r="5" spans="1:11" ht="15.75" thickBot="1" x14ac:dyDescent="0.3">
      <c r="A5" s="11">
        <v>2019</v>
      </c>
      <c r="B5" s="18">
        <v>70000</v>
      </c>
      <c r="C5" s="18">
        <v>75000</v>
      </c>
      <c r="D5" s="18">
        <v>35000</v>
      </c>
      <c r="E5" s="11">
        <v>0</v>
      </c>
    </row>
    <row r="6" spans="1:11" ht="15.75" thickBot="1" x14ac:dyDescent="0.3">
      <c r="A6" s="11">
        <v>2020</v>
      </c>
      <c r="B6" s="18">
        <v>60000</v>
      </c>
      <c r="C6" s="18">
        <v>65000</v>
      </c>
      <c r="D6" s="18">
        <v>33000</v>
      </c>
      <c r="E6" s="18">
        <v>40000</v>
      </c>
    </row>
    <row r="7" spans="1:11" ht="15.75" thickBot="1" x14ac:dyDescent="0.3">
      <c r="A7" s="11">
        <v>2021</v>
      </c>
      <c r="B7" s="18">
        <v>55000</v>
      </c>
      <c r="C7" s="18">
        <v>60000</v>
      </c>
      <c r="D7" s="18">
        <v>32000</v>
      </c>
      <c r="E7" s="18">
        <v>38000</v>
      </c>
    </row>
    <row r="8" spans="1:11" ht="15.75" thickBot="1" x14ac:dyDescent="0.3">
      <c r="A8" s="11">
        <v>2022</v>
      </c>
      <c r="B8" s="18">
        <v>55000</v>
      </c>
      <c r="C8" s="18">
        <v>60000</v>
      </c>
      <c r="D8" s="18">
        <v>31000</v>
      </c>
      <c r="E8" s="18">
        <v>36000</v>
      </c>
    </row>
    <row r="9" spans="1:11" ht="15.75" thickBot="1" x14ac:dyDescent="0.3">
      <c r="A9" s="11">
        <v>2023</v>
      </c>
      <c r="B9" s="18">
        <v>55000</v>
      </c>
      <c r="C9" s="18">
        <v>60000</v>
      </c>
      <c r="D9" s="18">
        <v>30000</v>
      </c>
      <c r="E9" s="18">
        <v>35000</v>
      </c>
    </row>
    <row r="11" spans="1:11" ht="15.75" thickBot="1" x14ac:dyDescent="0.3">
      <c r="G11" t="s">
        <v>133</v>
      </c>
    </row>
    <row r="12" spans="1:11" ht="16.5" thickTop="1" thickBot="1" x14ac:dyDescent="0.3">
      <c r="A12" s="73" t="s">
        <v>128</v>
      </c>
      <c r="B12" s="73"/>
      <c r="G12" s="73" t="s">
        <v>134</v>
      </c>
      <c r="H12" s="73"/>
      <c r="I12" s="73"/>
      <c r="J12" s="73"/>
      <c r="K12" s="73"/>
    </row>
    <row r="13" spans="1:11" ht="16.5" thickTop="1" thickBot="1" x14ac:dyDescent="0.3">
      <c r="A13" s="78">
        <f>AVERAGE(B2:E9)</f>
        <v>48750</v>
      </c>
      <c r="B13" s="4"/>
      <c r="G13" s="78">
        <f>HLOOKUP(C1,A1:E9,9,TRUE)</f>
        <v>60000</v>
      </c>
    </row>
    <row r="14" spans="1:11" ht="16.5" thickTop="1" thickBot="1" x14ac:dyDescent="0.3">
      <c r="A14" s="77" t="s">
        <v>129</v>
      </c>
      <c r="B14" s="73"/>
      <c r="C14" s="73"/>
      <c r="D14" s="73"/>
      <c r="G14" s="77" t="s">
        <v>135</v>
      </c>
      <c r="H14" s="73"/>
      <c r="I14" s="73"/>
      <c r="J14" s="73"/>
      <c r="K14" s="73"/>
    </row>
    <row r="15" spans="1:11" ht="16.5" thickTop="1" thickBot="1" x14ac:dyDescent="0.3">
      <c r="A15" s="78">
        <f>SUM(E6:E9)</f>
        <v>149000</v>
      </c>
      <c r="G15" s="78">
        <f>HLOOKUP(B1,A1:E9,5,FALSE)</f>
        <v>70000</v>
      </c>
    </row>
    <row r="16" spans="1:11" ht="16.5" thickTop="1" thickBot="1" x14ac:dyDescent="0.3">
      <c r="A16" s="77" t="s">
        <v>130</v>
      </c>
      <c r="B16" s="73"/>
      <c r="C16" s="73"/>
      <c r="D16" s="73"/>
      <c r="E16" s="73"/>
    </row>
    <row r="17" spans="1:4" ht="16.5" thickTop="1" thickBot="1" x14ac:dyDescent="0.3">
      <c r="A17" s="78">
        <f>(D6-D9)</f>
        <v>3000</v>
      </c>
    </row>
    <row r="18" spans="1:4" ht="16.5" thickTop="1" thickBot="1" x14ac:dyDescent="0.3">
      <c r="A18" s="77" t="s">
        <v>131</v>
      </c>
      <c r="B18" s="73"/>
      <c r="C18" s="73"/>
      <c r="D18" s="73"/>
    </row>
    <row r="19" spans="1:4" ht="16.5" thickTop="1" thickBot="1" x14ac:dyDescent="0.3">
      <c r="A19" s="78">
        <f>AVERAGE(C2:C9)</f>
        <v>72500</v>
      </c>
    </row>
    <row r="20" spans="1:4" ht="16.5" thickTop="1" thickBot="1" x14ac:dyDescent="0.3">
      <c r="A20" s="77" t="s">
        <v>132</v>
      </c>
      <c r="B20" s="73"/>
      <c r="C20" s="73"/>
    </row>
    <row r="21" spans="1:4" ht="16.5" thickTop="1" thickBot="1" x14ac:dyDescent="0.3">
      <c r="A21" s="78">
        <f>MIN(D2:D9)</f>
        <v>30000</v>
      </c>
    </row>
    <row r="22" spans="1:4" ht="15.75" thickTop="1" x14ac:dyDescent="0.2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53" workbookViewId="0">
      <selection activeCell="H67" sqref="H67"/>
    </sheetView>
  </sheetViews>
  <sheetFormatPr defaultRowHeight="15" x14ac:dyDescent="0.25"/>
  <cols>
    <col min="1" max="1" width="16.28515625" bestFit="1" customWidth="1"/>
    <col min="2" max="2" width="43.42578125" bestFit="1" customWidth="1"/>
    <col min="3" max="6" width="11.140625" bestFit="1" customWidth="1"/>
    <col min="8" max="8" width="68.140625" bestFit="1" customWidth="1"/>
    <col min="9" max="9" width="16.28515625" bestFit="1" customWidth="1"/>
  </cols>
  <sheetData>
    <row r="1" spans="1:6" ht="57" thickBot="1" x14ac:dyDescent="0.45">
      <c r="A1" s="19" t="s">
        <v>1</v>
      </c>
      <c r="B1" s="20" t="s">
        <v>74</v>
      </c>
      <c r="C1" s="19" t="s">
        <v>7</v>
      </c>
      <c r="D1" s="19" t="s">
        <v>8</v>
      </c>
      <c r="E1" s="19" t="s">
        <v>9</v>
      </c>
      <c r="F1" s="19" t="s">
        <v>10</v>
      </c>
    </row>
    <row r="2" spans="1:6" ht="16.5" thickBot="1" x14ac:dyDescent="0.3">
      <c r="A2" s="12">
        <v>2016</v>
      </c>
      <c r="B2" s="21" t="s">
        <v>70</v>
      </c>
      <c r="C2" s="22">
        <v>150000000</v>
      </c>
      <c r="D2" s="23">
        <v>100000000</v>
      </c>
      <c r="E2" s="23">
        <v>50000000</v>
      </c>
      <c r="F2" s="23">
        <v>50000000</v>
      </c>
    </row>
    <row r="3" spans="1:6" ht="16.5" thickBot="1" x14ac:dyDescent="0.3">
      <c r="A3" s="12">
        <v>2016</v>
      </c>
      <c r="B3" s="21" t="s">
        <v>71</v>
      </c>
      <c r="C3" s="22">
        <v>120000000</v>
      </c>
      <c r="D3" s="23">
        <v>100000000</v>
      </c>
      <c r="E3" s="23">
        <v>50000000</v>
      </c>
      <c r="F3" s="23">
        <v>30000000</v>
      </c>
    </row>
    <row r="4" spans="1:6" ht="16.5" thickBot="1" x14ac:dyDescent="0.3">
      <c r="A4" s="12">
        <v>2016</v>
      </c>
      <c r="B4" s="21" t="s">
        <v>72</v>
      </c>
      <c r="C4" s="22">
        <v>20000000</v>
      </c>
      <c r="D4" s="23">
        <v>20000000</v>
      </c>
      <c r="E4" s="23">
        <v>20000000</v>
      </c>
      <c r="F4" s="23">
        <v>10000000</v>
      </c>
    </row>
    <row r="5" spans="1:6" ht="16.5" thickBot="1" x14ac:dyDescent="0.3">
      <c r="A5" s="12">
        <v>2016</v>
      </c>
      <c r="B5" s="21" t="s">
        <v>73</v>
      </c>
      <c r="C5" s="22">
        <v>90000000</v>
      </c>
      <c r="D5" s="23">
        <v>30000000</v>
      </c>
      <c r="E5" s="23">
        <v>30000000</v>
      </c>
      <c r="F5" s="23">
        <v>10000000</v>
      </c>
    </row>
    <row r="6" spans="1:6" ht="16.5" thickBot="1" x14ac:dyDescent="0.3">
      <c r="A6" s="12">
        <v>2017</v>
      </c>
      <c r="B6" s="21" t="s">
        <v>70</v>
      </c>
      <c r="C6" s="22">
        <v>200000000</v>
      </c>
      <c r="D6" s="23">
        <v>150000000</v>
      </c>
      <c r="E6" s="23">
        <v>100000000</v>
      </c>
      <c r="F6" s="23">
        <v>100000000</v>
      </c>
    </row>
    <row r="7" spans="1:6" ht="16.5" thickBot="1" x14ac:dyDescent="0.3">
      <c r="A7" s="12">
        <v>2017</v>
      </c>
      <c r="B7" s="21" t="s">
        <v>71</v>
      </c>
      <c r="C7" s="22">
        <v>150000000</v>
      </c>
      <c r="D7" s="23">
        <v>150000000</v>
      </c>
      <c r="E7" s="23">
        <v>150000000</v>
      </c>
      <c r="F7" s="23">
        <v>70000000</v>
      </c>
    </row>
    <row r="8" spans="1:6" ht="16.5" thickBot="1" x14ac:dyDescent="0.3">
      <c r="A8" s="12">
        <v>2017</v>
      </c>
      <c r="B8" s="21" t="s">
        <v>72</v>
      </c>
      <c r="C8" s="22">
        <v>30000000</v>
      </c>
      <c r="D8" s="23">
        <v>30000000</v>
      </c>
      <c r="E8" s="23">
        <v>30000000</v>
      </c>
      <c r="F8" s="23">
        <v>10000000</v>
      </c>
    </row>
    <row r="9" spans="1:6" ht="16.5" thickBot="1" x14ac:dyDescent="0.3">
      <c r="A9" s="12">
        <v>2017</v>
      </c>
      <c r="B9" s="21" t="s">
        <v>73</v>
      </c>
      <c r="C9" s="22">
        <v>120000000</v>
      </c>
      <c r="D9" s="23">
        <v>100000000</v>
      </c>
      <c r="E9" s="23">
        <v>120000000</v>
      </c>
      <c r="F9" s="23">
        <v>50000000</v>
      </c>
    </row>
    <row r="10" spans="1:6" ht="16.5" thickBot="1" x14ac:dyDescent="0.3">
      <c r="A10" s="12">
        <v>2018</v>
      </c>
      <c r="B10" s="21" t="s">
        <v>70</v>
      </c>
      <c r="C10" s="22">
        <v>250000000</v>
      </c>
      <c r="D10" s="23">
        <v>200000000</v>
      </c>
      <c r="E10" s="23">
        <v>120000000</v>
      </c>
      <c r="F10" s="23">
        <v>100000000</v>
      </c>
    </row>
    <row r="11" spans="1:6" ht="16.5" thickBot="1" x14ac:dyDescent="0.3">
      <c r="A11" s="12">
        <v>2018</v>
      </c>
      <c r="B11" s="21" t="s">
        <v>71</v>
      </c>
      <c r="C11" s="22">
        <v>200000000</v>
      </c>
      <c r="D11" s="23">
        <v>200000000</v>
      </c>
      <c r="E11" s="23">
        <v>180000000</v>
      </c>
      <c r="F11" s="23">
        <v>80000000</v>
      </c>
    </row>
    <row r="12" spans="1:6" ht="16.5" thickBot="1" x14ac:dyDescent="0.3">
      <c r="A12" s="12">
        <v>2018</v>
      </c>
      <c r="B12" s="21" t="s">
        <v>72</v>
      </c>
      <c r="C12" s="22">
        <v>50000000</v>
      </c>
      <c r="D12" s="23">
        <v>40000000</v>
      </c>
      <c r="E12" s="23">
        <v>40000000</v>
      </c>
      <c r="F12" s="23">
        <v>20000000</v>
      </c>
    </row>
    <row r="13" spans="1:6" ht="16.5" thickBot="1" x14ac:dyDescent="0.3">
      <c r="A13" s="12">
        <v>2018</v>
      </c>
      <c r="B13" s="21" t="s">
        <v>73</v>
      </c>
      <c r="C13" s="22">
        <v>100000000</v>
      </c>
      <c r="D13" s="23">
        <v>120000000</v>
      </c>
      <c r="E13" s="23">
        <v>110000000</v>
      </c>
      <c r="F13" s="23">
        <v>60000000</v>
      </c>
    </row>
    <row r="14" spans="1:6" ht="16.5" thickBot="1" x14ac:dyDescent="0.3">
      <c r="A14" s="12">
        <v>2019</v>
      </c>
      <c r="B14" s="21" t="s">
        <v>70</v>
      </c>
      <c r="C14" s="22">
        <v>300000000</v>
      </c>
      <c r="D14" s="23">
        <v>250000000</v>
      </c>
      <c r="E14" s="23">
        <v>180000000</v>
      </c>
      <c r="F14" s="23">
        <v>120000000</v>
      </c>
    </row>
    <row r="15" spans="1:6" ht="16.5" thickBot="1" x14ac:dyDescent="0.3">
      <c r="A15" s="12">
        <v>2019</v>
      </c>
      <c r="B15" s="21" t="s">
        <v>71</v>
      </c>
      <c r="C15" s="22">
        <v>250000000</v>
      </c>
      <c r="D15" s="23">
        <v>200000000</v>
      </c>
      <c r="E15" s="23">
        <v>300000000</v>
      </c>
      <c r="F15" s="23">
        <v>100000000</v>
      </c>
    </row>
    <row r="16" spans="1:6" ht="16.5" thickBot="1" x14ac:dyDescent="0.3">
      <c r="A16" s="12">
        <v>2019</v>
      </c>
      <c r="B16" s="21" t="s">
        <v>72</v>
      </c>
      <c r="C16" s="22">
        <v>60000000</v>
      </c>
      <c r="D16" s="23">
        <v>50000000</v>
      </c>
      <c r="E16" s="23">
        <v>60000000</v>
      </c>
      <c r="F16" s="23">
        <v>30000000</v>
      </c>
    </row>
    <row r="17" spans="1:6" ht="16.5" thickBot="1" x14ac:dyDescent="0.3">
      <c r="A17" s="12">
        <v>2019</v>
      </c>
      <c r="B17" s="21" t="s">
        <v>73</v>
      </c>
      <c r="C17" s="22">
        <v>190000000</v>
      </c>
      <c r="D17" s="23">
        <v>150000000</v>
      </c>
      <c r="E17" s="23">
        <v>200000000</v>
      </c>
      <c r="F17" s="23">
        <v>50000000</v>
      </c>
    </row>
    <row r="18" spans="1:6" ht="16.5" thickBot="1" x14ac:dyDescent="0.3">
      <c r="A18" s="12">
        <v>2020</v>
      </c>
      <c r="B18" s="21" t="s">
        <v>70</v>
      </c>
      <c r="C18" s="22">
        <v>400000000</v>
      </c>
      <c r="D18" s="23">
        <v>300000000</v>
      </c>
      <c r="E18" s="23">
        <v>250000000</v>
      </c>
      <c r="F18" s="23">
        <v>150000000</v>
      </c>
    </row>
    <row r="19" spans="1:6" ht="16.5" thickBot="1" x14ac:dyDescent="0.3">
      <c r="A19" s="12">
        <v>2020</v>
      </c>
      <c r="B19" s="21" t="s">
        <v>71</v>
      </c>
      <c r="C19" s="22">
        <v>300000000</v>
      </c>
      <c r="D19" s="23">
        <v>300000000</v>
      </c>
      <c r="E19" s="23">
        <v>500000000</v>
      </c>
      <c r="F19" s="23">
        <v>120000000</v>
      </c>
    </row>
    <row r="20" spans="1:6" ht="16.5" thickBot="1" x14ac:dyDescent="0.3">
      <c r="A20" s="12">
        <v>2020</v>
      </c>
      <c r="B20" s="21" t="s">
        <v>72</v>
      </c>
      <c r="C20" s="22">
        <v>80000000</v>
      </c>
      <c r="D20" s="23">
        <v>60000000</v>
      </c>
      <c r="E20" s="23">
        <v>100000000</v>
      </c>
      <c r="F20" s="23">
        <v>40000000</v>
      </c>
    </row>
    <row r="21" spans="1:6" ht="16.5" thickBot="1" x14ac:dyDescent="0.3">
      <c r="A21" s="12">
        <v>2020</v>
      </c>
      <c r="B21" s="21" t="s">
        <v>73</v>
      </c>
      <c r="C21" s="22">
        <v>220000000</v>
      </c>
      <c r="D21" s="23">
        <v>240000000</v>
      </c>
      <c r="E21" s="23">
        <v>350000000</v>
      </c>
      <c r="F21" s="23">
        <v>80000000</v>
      </c>
    </row>
    <row r="22" spans="1:6" ht="16.5" thickBot="1" x14ac:dyDescent="0.3">
      <c r="A22" s="12">
        <v>2021</v>
      </c>
      <c r="B22" s="21" t="s">
        <v>70</v>
      </c>
      <c r="C22" s="22">
        <v>500000000</v>
      </c>
      <c r="D22" s="23">
        <v>400000000</v>
      </c>
      <c r="E22" s="23">
        <v>300000000</v>
      </c>
      <c r="F22" s="23">
        <v>200000000</v>
      </c>
    </row>
    <row r="23" spans="1:6" ht="16.5" thickBot="1" x14ac:dyDescent="0.3">
      <c r="A23" s="12">
        <v>2021</v>
      </c>
      <c r="B23" s="21" t="s">
        <v>71</v>
      </c>
      <c r="C23" s="22">
        <v>350000000</v>
      </c>
      <c r="D23" s="23">
        <v>400000000</v>
      </c>
      <c r="E23" s="23">
        <v>600000000</v>
      </c>
      <c r="F23" s="23">
        <v>150000000</v>
      </c>
    </row>
    <row r="24" spans="1:6" ht="16.5" thickBot="1" x14ac:dyDescent="0.3">
      <c r="A24" s="12">
        <v>2021</v>
      </c>
      <c r="B24" s="21" t="s">
        <v>72</v>
      </c>
      <c r="C24" s="22">
        <v>100000000</v>
      </c>
      <c r="D24" s="23">
        <v>80000000</v>
      </c>
      <c r="E24" s="23">
        <v>120000000</v>
      </c>
      <c r="F24" s="23">
        <v>60000000</v>
      </c>
    </row>
    <row r="25" spans="1:6" ht="16.5" thickBot="1" x14ac:dyDescent="0.3">
      <c r="A25" s="12">
        <v>2021</v>
      </c>
      <c r="B25" s="21" t="s">
        <v>73</v>
      </c>
      <c r="C25" s="22">
        <v>250000000</v>
      </c>
      <c r="D25" s="23">
        <v>320000000</v>
      </c>
      <c r="E25" s="23">
        <v>450000000</v>
      </c>
      <c r="F25" s="23">
        <v>100000000</v>
      </c>
    </row>
    <row r="26" spans="1:6" ht="16.5" thickBot="1" x14ac:dyDescent="0.3">
      <c r="A26" s="12">
        <v>2022</v>
      </c>
      <c r="B26" s="21" t="s">
        <v>70</v>
      </c>
      <c r="C26" s="22">
        <v>600000000</v>
      </c>
      <c r="D26" s="23">
        <v>450000000</v>
      </c>
      <c r="E26" s="23">
        <v>350000000</v>
      </c>
      <c r="F26" s="23">
        <v>250000000</v>
      </c>
    </row>
    <row r="27" spans="1:6" ht="16.5" thickBot="1" x14ac:dyDescent="0.3">
      <c r="A27" s="12">
        <v>2022</v>
      </c>
      <c r="B27" s="21" t="s">
        <v>71</v>
      </c>
      <c r="C27" s="22">
        <v>400000000</v>
      </c>
      <c r="D27" s="23">
        <v>450000000</v>
      </c>
      <c r="E27" s="23">
        <v>700000000</v>
      </c>
      <c r="F27" s="23">
        <v>200000000</v>
      </c>
    </row>
    <row r="28" spans="1:6" ht="16.5" thickBot="1" x14ac:dyDescent="0.3">
      <c r="A28" s="12">
        <v>2022</v>
      </c>
      <c r="B28" s="21" t="s">
        <v>72</v>
      </c>
      <c r="C28" s="22">
        <v>120000000</v>
      </c>
      <c r="D28" s="23">
        <v>90000000</v>
      </c>
      <c r="E28" s="23">
        <v>140000000</v>
      </c>
      <c r="F28" s="23">
        <v>80000000</v>
      </c>
    </row>
    <row r="29" spans="1:6" ht="16.5" thickBot="1" x14ac:dyDescent="0.3">
      <c r="A29" s="12">
        <v>2022</v>
      </c>
      <c r="B29" s="21" t="s">
        <v>73</v>
      </c>
      <c r="C29" s="22">
        <v>280000000</v>
      </c>
      <c r="D29" s="23">
        <v>350000000</v>
      </c>
      <c r="E29" s="23">
        <v>550000000</v>
      </c>
      <c r="F29" s="23">
        <v>120000000</v>
      </c>
    </row>
    <row r="30" spans="1:6" ht="16.5" thickBot="1" x14ac:dyDescent="0.3">
      <c r="A30" s="12">
        <v>2023</v>
      </c>
      <c r="B30" s="21" t="s">
        <v>70</v>
      </c>
      <c r="C30" s="22">
        <v>700000000</v>
      </c>
      <c r="D30" s="23">
        <v>500000000</v>
      </c>
      <c r="E30" s="23">
        <v>400000000</v>
      </c>
      <c r="F30" s="23">
        <v>350000000</v>
      </c>
    </row>
    <row r="31" spans="1:6" ht="16.5" thickBot="1" x14ac:dyDescent="0.3">
      <c r="A31" s="12">
        <v>2023</v>
      </c>
      <c r="B31" s="21" t="s">
        <v>71</v>
      </c>
      <c r="C31" s="22">
        <v>450000000</v>
      </c>
      <c r="D31" s="23">
        <v>500000000</v>
      </c>
      <c r="E31" s="23">
        <v>800000000</v>
      </c>
      <c r="F31" s="23">
        <v>250000000</v>
      </c>
    </row>
    <row r="32" spans="1:6" ht="16.5" thickBot="1" x14ac:dyDescent="0.3">
      <c r="A32" s="12">
        <v>2023</v>
      </c>
      <c r="B32" s="21" t="s">
        <v>72</v>
      </c>
      <c r="C32" s="22">
        <v>140000000</v>
      </c>
      <c r="D32" s="23">
        <v>100000000</v>
      </c>
      <c r="E32" s="23">
        <v>160000000</v>
      </c>
      <c r="F32" s="23">
        <v>100000000</v>
      </c>
    </row>
    <row r="33" spans="1:6" ht="16.5" thickBot="1" x14ac:dyDescent="0.3">
      <c r="A33" s="12">
        <v>2023</v>
      </c>
      <c r="B33" s="21" t="s">
        <v>73</v>
      </c>
      <c r="C33" s="22">
        <v>310000000</v>
      </c>
      <c r="D33" s="24">
        <v>400000000</v>
      </c>
      <c r="E33" s="24">
        <v>600000000</v>
      </c>
      <c r="F33" s="24">
        <v>200000000</v>
      </c>
    </row>
    <row r="36" spans="1:6" x14ac:dyDescent="0.25">
      <c r="A36" t="s">
        <v>137</v>
      </c>
    </row>
    <row r="37" spans="1:6" x14ac:dyDescent="0.25">
      <c r="A37" s="47">
        <f>COUNTIF(C2:F33,"&gt;200000000")</f>
        <v>44</v>
      </c>
    </row>
    <row r="38" spans="1:6" x14ac:dyDescent="0.25">
      <c r="A38" t="s">
        <v>144</v>
      </c>
    </row>
    <row r="39" spans="1:6" x14ac:dyDescent="0.25">
      <c r="A39" s="70">
        <f>MEDIAN(Sheet5!C32,Sheet5!C28,Sheet5!C24,Sheet5!C20,Sheet5!C16,Sheet5!C12,Sheet5!C8,Sheet5!C4)</f>
        <v>70000000</v>
      </c>
    </row>
    <row r="40" spans="1:6" x14ac:dyDescent="0.25">
      <c r="A40" t="s">
        <v>145</v>
      </c>
    </row>
    <row r="41" spans="1:6" x14ac:dyDescent="0.25">
      <c r="A41" s="93">
        <f>MODE(C31:F31,C27:F27,C23:F23,C19:F19,C15:F15,C11:F11,C7:F7,C3:F3)</f>
        <v>200000000</v>
      </c>
    </row>
    <row r="42" spans="1:6" x14ac:dyDescent="0.25">
      <c r="A42" t="s">
        <v>150</v>
      </c>
    </row>
    <row r="43" spans="1:6" x14ac:dyDescent="0.25">
      <c r="A43" s="47">
        <f>STDEV(D2,D6,D10,D14,D18,D22,D26,D30)</f>
        <v>145006157.50472707</v>
      </c>
    </row>
    <row r="44" spans="1:6" x14ac:dyDescent="0.25">
      <c r="A44" t="s">
        <v>151</v>
      </c>
    </row>
    <row r="45" spans="1:6" x14ac:dyDescent="0.25">
      <c r="A45" s="47">
        <f>SKEW(F33,F29,F25,F21,F17,F13,F9,F5)</f>
        <v>1.1159753953898182</v>
      </c>
    </row>
    <row r="46" spans="1:6" x14ac:dyDescent="0.25">
      <c r="A46" t="s">
        <v>152</v>
      </c>
    </row>
    <row r="47" spans="1:6" x14ac:dyDescent="0.25">
      <c r="A47" s="47">
        <f>KURT(E4,E8,E12,E16,E20,E24,E28,E32)</f>
        <v>-1.7689273431917467</v>
      </c>
    </row>
    <row r="48" spans="1:6" ht="18" customHeight="1" x14ac:dyDescent="0.25">
      <c r="A48" t="s">
        <v>153</v>
      </c>
    </row>
    <row r="49" spans="1:8" x14ac:dyDescent="0.25">
      <c r="A49" s="47">
        <f>VAR(F3,F7,F11,F15,F19,F23,F27,F31)</f>
        <v>5228571428571429</v>
      </c>
    </row>
    <row r="55" spans="1:8" ht="15.75" thickBot="1" x14ac:dyDescent="0.3"/>
    <row r="56" spans="1:8" ht="38.25" thickBot="1" x14ac:dyDescent="0.45">
      <c r="A56" s="19" t="s">
        <v>1</v>
      </c>
      <c r="B56" s="20" t="s">
        <v>74</v>
      </c>
      <c r="C56" s="19" t="s">
        <v>7</v>
      </c>
      <c r="D56" s="19" t="s">
        <v>8</v>
      </c>
      <c r="E56" s="19" t="s">
        <v>9</v>
      </c>
      <c r="F56" s="19" t="s">
        <v>10</v>
      </c>
    </row>
    <row r="57" spans="1:8" x14ac:dyDescent="0.25">
      <c r="B57" t="s">
        <v>138</v>
      </c>
      <c r="H57" t="s">
        <v>139</v>
      </c>
    </row>
    <row r="58" spans="1:8" ht="15.75" thickBot="1" x14ac:dyDescent="0.3">
      <c r="H58" s="70">
        <f>DSUM(A1:F33,C56,A56:F57)</f>
        <v>600000000</v>
      </c>
    </row>
    <row r="59" spans="1:8" ht="38.25" thickBot="1" x14ac:dyDescent="0.45">
      <c r="A59" s="19" t="s">
        <v>1</v>
      </c>
      <c r="B59" s="83" t="s">
        <v>74</v>
      </c>
      <c r="C59" s="19" t="s">
        <v>7</v>
      </c>
      <c r="D59" s="19" t="s">
        <v>8</v>
      </c>
      <c r="E59" s="19" t="s">
        <v>9</v>
      </c>
      <c r="F59" s="19" t="s">
        <v>10</v>
      </c>
    </row>
    <row r="60" spans="1:8" ht="15.75" x14ac:dyDescent="0.25">
      <c r="B60" s="84" t="s">
        <v>71</v>
      </c>
      <c r="H60" t="s">
        <v>140</v>
      </c>
    </row>
    <row r="61" spans="1:8" ht="15.75" thickBot="1" x14ac:dyDescent="0.3">
      <c r="H61" s="70">
        <f>DAVERAGE(A1:F33,C59,A59:F60)</f>
        <v>277500000</v>
      </c>
    </row>
    <row r="62" spans="1:8" ht="38.25" thickBot="1" x14ac:dyDescent="0.45">
      <c r="A62" s="19" t="s">
        <v>1</v>
      </c>
      <c r="B62" s="20" t="s">
        <v>74</v>
      </c>
      <c r="C62" s="19" t="s">
        <v>7</v>
      </c>
      <c r="D62" s="19" t="s">
        <v>8</v>
      </c>
      <c r="E62" s="19" t="s">
        <v>9</v>
      </c>
      <c r="F62" s="19" t="s">
        <v>10</v>
      </c>
    </row>
    <row r="63" spans="1:8" x14ac:dyDescent="0.25">
      <c r="D63" s="80" t="s">
        <v>141</v>
      </c>
      <c r="H63" t="s">
        <v>142</v>
      </c>
    </row>
    <row r="64" spans="1:8" ht="15.75" thickBot="1" x14ac:dyDescent="0.3">
      <c r="H64" s="47">
        <f>DCOUNT(A1:F33,D62,A62:F63)</f>
        <v>20</v>
      </c>
    </row>
    <row r="65" spans="1:8" ht="38.25" thickBot="1" x14ac:dyDescent="0.45">
      <c r="A65" s="19" t="s">
        <v>1</v>
      </c>
      <c r="B65" s="20" t="s">
        <v>74</v>
      </c>
      <c r="C65" s="19" t="s">
        <v>7</v>
      </c>
      <c r="D65" s="19" t="s">
        <v>8</v>
      </c>
      <c r="E65" s="19" t="s">
        <v>9</v>
      </c>
      <c r="F65" s="19" t="s">
        <v>10</v>
      </c>
    </row>
    <row r="66" spans="1:8" x14ac:dyDescent="0.25">
      <c r="B66" t="s">
        <v>138</v>
      </c>
      <c r="H66" t="s">
        <v>143</v>
      </c>
    </row>
    <row r="67" spans="1:8" x14ac:dyDescent="0.25">
      <c r="H67" s="47">
        <f>DCOUNTA(A1:F33,F65,A65:F66)</f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M10" sqref="M10"/>
    </sheetView>
  </sheetViews>
  <sheetFormatPr defaultRowHeight="15" x14ac:dyDescent="0.25"/>
  <cols>
    <col min="1" max="1" width="29.42578125" customWidth="1"/>
    <col min="2" max="2" width="17.42578125" customWidth="1"/>
    <col min="3" max="3" width="12.7109375" bestFit="1" customWidth="1"/>
    <col min="4" max="4" width="11.140625" bestFit="1" customWidth="1"/>
    <col min="5" max="6" width="12.7109375" bestFit="1" customWidth="1"/>
  </cols>
  <sheetData>
    <row r="1" spans="1:6" ht="80.25" customHeight="1" thickTop="1" thickBot="1" x14ac:dyDescent="0.45">
      <c r="A1" s="26" t="s">
        <v>12</v>
      </c>
      <c r="B1" s="27" t="s">
        <v>70</v>
      </c>
      <c r="C1" s="27" t="s">
        <v>77</v>
      </c>
      <c r="D1" s="27" t="s">
        <v>72</v>
      </c>
      <c r="E1" s="27" t="s">
        <v>73</v>
      </c>
      <c r="F1" s="28" t="s">
        <v>78</v>
      </c>
    </row>
    <row r="2" spans="1:6" ht="16.5" thickTop="1" thickBot="1" x14ac:dyDescent="0.3">
      <c r="A2" s="29">
        <v>2016</v>
      </c>
      <c r="B2" s="30">
        <v>450000000</v>
      </c>
      <c r="C2" s="30">
        <v>280000000</v>
      </c>
      <c r="D2" s="30">
        <v>50000000</v>
      </c>
      <c r="E2" s="30">
        <v>350000000</v>
      </c>
      <c r="F2" s="31">
        <v>1130000000</v>
      </c>
    </row>
    <row r="3" spans="1:6" ht="16.5" thickTop="1" thickBot="1" x14ac:dyDescent="0.3">
      <c r="A3" s="29">
        <v>2017</v>
      </c>
      <c r="B3" s="30">
        <v>650000000</v>
      </c>
      <c r="C3" s="30">
        <v>380000000</v>
      </c>
      <c r="D3" s="30">
        <v>70000000</v>
      </c>
      <c r="E3" s="30">
        <v>470000000</v>
      </c>
      <c r="F3" s="31">
        <v>1570000000</v>
      </c>
    </row>
    <row r="4" spans="1:6" ht="16.5" thickTop="1" thickBot="1" x14ac:dyDescent="0.3">
      <c r="A4" s="29">
        <v>2018</v>
      </c>
      <c r="B4" s="30">
        <v>750000000</v>
      </c>
      <c r="C4" s="30">
        <v>450000000</v>
      </c>
      <c r="D4" s="30">
        <v>100000000</v>
      </c>
      <c r="E4" s="30">
        <v>680000000</v>
      </c>
      <c r="F4" s="31">
        <v>1980000000</v>
      </c>
    </row>
    <row r="5" spans="1:6" ht="16.5" thickTop="1" thickBot="1" x14ac:dyDescent="0.3">
      <c r="A5" s="29">
        <v>2019</v>
      </c>
      <c r="B5" s="30">
        <v>1100000000</v>
      </c>
      <c r="C5" s="30">
        <v>600000000</v>
      </c>
      <c r="D5" s="30">
        <v>120000000</v>
      </c>
      <c r="E5" s="30">
        <v>770000000</v>
      </c>
      <c r="F5" s="31">
        <v>2590000000</v>
      </c>
    </row>
    <row r="6" spans="1:6" ht="16.5" thickTop="1" thickBot="1" x14ac:dyDescent="0.3">
      <c r="A6" s="29">
        <v>2020</v>
      </c>
      <c r="B6" s="30">
        <v>1300000000</v>
      </c>
      <c r="C6" s="30">
        <v>800000000</v>
      </c>
      <c r="D6" s="30">
        <v>200000000</v>
      </c>
      <c r="E6" s="30">
        <v>690000000</v>
      </c>
      <c r="F6" s="31">
        <v>2990000000</v>
      </c>
    </row>
    <row r="7" spans="1:6" ht="16.5" thickTop="1" thickBot="1" x14ac:dyDescent="0.3">
      <c r="A7" s="29">
        <v>2021</v>
      </c>
      <c r="B7" s="30">
        <v>1550000000</v>
      </c>
      <c r="C7" s="30">
        <v>1000000000</v>
      </c>
      <c r="D7" s="30">
        <v>250000000</v>
      </c>
      <c r="E7" s="30">
        <v>1070000000</v>
      </c>
      <c r="F7" s="31">
        <v>3870000000</v>
      </c>
    </row>
    <row r="8" spans="1:6" ht="16.5" thickTop="1" thickBot="1" x14ac:dyDescent="0.3">
      <c r="A8" s="29">
        <v>2022</v>
      </c>
      <c r="B8" s="30">
        <v>1850000000</v>
      </c>
      <c r="C8" s="30">
        <v>1200000000</v>
      </c>
      <c r="D8" s="30">
        <v>350000000</v>
      </c>
      <c r="E8" s="30">
        <v>1120000000</v>
      </c>
      <c r="F8" s="31">
        <v>4520000000</v>
      </c>
    </row>
    <row r="9" spans="1:6" ht="16.5" thickTop="1" thickBot="1" x14ac:dyDescent="0.3">
      <c r="A9" s="29">
        <v>2023</v>
      </c>
      <c r="B9" s="30">
        <v>2200000000</v>
      </c>
      <c r="C9" s="30">
        <v>1500000000</v>
      </c>
      <c r="D9" s="30">
        <v>450000000</v>
      </c>
      <c r="E9" s="30">
        <v>1470000000</v>
      </c>
      <c r="F9" s="31">
        <v>5620000000</v>
      </c>
    </row>
    <row r="10" spans="1:6" ht="15.75" thickTop="1" x14ac:dyDescent="0.25"/>
    <row r="11" spans="1:6" x14ac:dyDescent="0.25">
      <c r="A11" t="s">
        <v>154</v>
      </c>
    </row>
    <row r="12" spans="1:6" x14ac:dyDescent="0.25">
      <c r="A12" s="70">
        <f>SUMIF(B2:B9,"&gt;1000000000")</f>
        <v>8000000000</v>
      </c>
    </row>
    <row r="13" spans="1:6" ht="12.75" customHeight="1" x14ac:dyDescent="0.25">
      <c r="A13" t="s">
        <v>155</v>
      </c>
    </row>
    <row r="14" spans="1:6" x14ac:dyDescent="0.25">
      <c r="A14" s="70">
        <f>AVERAGEIFS(F2:F9,C2:C9,"&lt;1500000000",D2:D9,"&gt;200000000")</f>
        <v>4195000000</v>
      </c>
    </row>
    <row r="15" spans="1:6" x14ac:dyDescent="0.25">
      <c r="A15" t="s">
        <v>156</v>
      </c>
    </row>
    <row r="16" spans="1:6" x14ac:dyDescent="0.25">
      <c r="A16" s="70">
        <f>SUMIFS(E2:E9,B2:B9,"&gt;1500000000",D2:D9,"&gt;300000000")</f>
        <v>2590000000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2024-11-24T16:08:45Z</dcterms:created>
  <dcterms:modified xsi:type="dcterms:W3CDTF">2024-12-04T13:04:35Z</dcterms:modified>
</cp:coreProperties>
</file>